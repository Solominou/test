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belSemaan\Downloads\VaGo\"/>
    </mc:Choice>
  </mc:AlternateContent>
  <xr:revisionPtr revIDLastSave="0" documentId="13_ncr:1_{AA963D8B-B71C-4248-B7D3-B9C995157DE9}" xr6:coauthVersionLast="47" xr6:coauthVersionMax="47" xr10:uidLastSave="{00000000-0000-0000-0000-000000000000}"/>
  <bookViews>
    <workbookView xWindow="-120" yWindow="-120" windowWidth="29040" windowHeight="16440" xr2:uid="{D27CB08C-9B3D-4FE6-ACAA-827F44CE46D9}"/>
  </bookViews>
  <sheets>
    <sheet name="Main" sheetId="1" r:id="rId1"/>
    <sheet name="Summary" sheetId="7" state="hidden" r:id="rId2"/>
    <sheet name="Rating Factors" sheetId="2" r:id="rId3"/>
    <sheet name="CrestaP" sheetId="8" r:id="rId4"/>
  </sheets>
  <definedNames>
    <definedName name="_xlnm._FilterDatabase" localSheetId="3" hidden="1">CrestaP!$A$1:$E$205</definedName>
    <definedName name="_xleta.OR" hidden="1" xlm="1">#NAME?</definedName>
    <definedName name="_xleta.T" hidden="1" xlm="1">#NAME?</definedName>
    <definedName name="_xlpm.alloc_prem" hidden="1" xlm="1">#NAME?</definedName>
    <definedName name="_xlpm.base_ok" hidden="1" xlm="1">#NAME?</definedName>
    <definedName name="_xlpm.calcPrem" hidden="1" xlm="1">#NAME?</definedName>
    <definedName name="_xlpm.cap_prem" hidden="1" xlm="1">#NAME?</definedName>
    <definedName name="_xlpm.comBase" hidden="1" xlm="1">#NAME?</definedName>
    <definedName name="_xlpm.comSizeLoad" hidden="1" xlm="1">#NAME?</definedName>
    <definedName name="_xlpm.comUnits" hidden="1" xlm="1">#NAME?</definedName>
    <definedName name="_xlpm.dedLoad" hidden="1" xlm="1">#NAME?</definedName>
    <definedName name="_xlpm.full_rate" hidden="1" xlm="1">#NAME?</definedName>
    <definedName name="_xlpm.glDed" hidden="1" xlm="1">#NAME?</definedName>
    <definedName name="_xlpm.glLimit" hidden="1" xlm="1">#NAME?</definedName>
    <definedName name="_xlpm.is_full" hidden="1" xlm="1">#NAME?</definedName>
    <definedName name="_xlpm.limitLoad" hidden="1" xlm="1">#NAME?</definedName>
    <definedName name="_xlpm.loc_tiv" hidden="1" xlm="1">#NAME?</definedName>
    <definedName name="_xlpm.min_per_loc" hidden="1" xlm="1">#NAME?</definedName>
    <definedName name="_xlpm.minPrem" hidden="1" xlm="1">#NAME?</definedName>
    <definedName name="_xlpm.n_locs" hidden="1" xlm="1">#NAME?</definedName>
    <definedName name="_xlpm.occ" hidden="1" xlm="1">#NAME?</definedName>
    <definedName name="_xlpm.resBase" hidden="1" xlm="1">#NAME?</definedName>
    <definedName name="_xlpm.resSizeLoad" hidden="1" xlm="1">#NAME?</definedName>
    <definedName name="_xlpm.resUnits" hidden="1" xlm="1">#NAME?</definedName>
    <definedName name="_xlpm.sched_prem" hidden="1" xlm="1">#NAME?</definedName>
    <definedName name="_xlpm.total_tiv" hidden="1" xlm="1">#NAME?</definedName>
    <definedName name="_xlpm.totCom" hidden="1" xlm="1">#NAME?</definedName>
    <definedName name="_xlpm.totRes" hidden="1" xlm="1">#NAME?</definedName>
    <definedName name="_xlpm.unitsPrem" hidden="1" xlm="1">#NAME?</definedName>
    <definedName name="_xlnm.Print_Area" localSheetId="1">Summary!$A$1:$AB$142</definedName>
    <definedName name="SBU">'Rating Factors'!$AP$2:$AP$10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8" i="1" l="1"/>
  <c r="AB8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T8" i="1"/>
  <c r="AR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BI9" i="1" l="1" a="1"/>
  <c r="BI9" i="1" s="1"/>
  <c r="BI10" i="1" a="1"/>
  <c r="BI10" i="1" s="1"/>
  <c r="BI11" i="1" a="1"/>
  <c r="BI11" i="1" s="1"/>
  <c r="BI12" i="1" a="1"/>
  <c r="BI12" i="1" s="1"/>
  <c r="BI13" i="1" a="1"/>
  <c r="BI13" i="1" s="1"/>
  <c r="BI14" i="1" a="1"/>
  <c r="BI14" i="1" s="1"/>
  <c r="BI15" i="1" a="1"/>
  <c r="BI15" i="1" s="1"/>
  <c r="BI16" i="1" a="1"/>
  <c r="BI16" i="1" s="1"/>
  <c r="BI17" i="1" a="1"/>
  <c r="BI17" i="1" s="1"/>
  <c r="BI18" i="1" a="1"/>
  <c r="BI18" i="1" s="1"/>
  <c r="BI19" i="1" a="1"/>
  <c r="BI19" i="1" s="1"/>
  <c r="BI20" i="1" a="1"/>
  <c r="BI20" i="1" s="1"/>
  <c r="BI21" i="1" a="1"/>
  <c r="BI21" i="1" s="1"/>
  <c r="BI22" i="1" a="1"/>
  <c r="BI22" i="1" s="1"/>
  <c r="BI23" i="1" a="1"/>
  <c r="BI23" i="1" s="1"/>
  <c r="BI24" i="1" a="1"/>
  <c r="BI24" i="1" s="1"/>
  <c r="BI25" i="1" a="1"/>
  <c r="BI25" i="1" s="1"/>
  <c r="BI26" i="1" a="1"/>
  <c r="BI26" i="1" s="1"/>
  <c r="BI27" i="1" a="1"/>
  <c r="BI27" i="1" s="1"/>
  <c r="BI28" i="1" a="1"/>
  <c r="BI28" i="1" s="1"/>
  <c r="BI29" i="1" a="1"/>
  <c r="BI29" i="1" s="1"/>
  <c r="BI30" i="1" a="1"/>
  <c r="BI30" i="1" s="1"/>
  <c r="BI31" i="1" a="1"/>
  <c r="BI31" i="1" s="1"/>
  <c r="BI32" i="1" a="1"/>
  <c r="BI32" i="1" s="1"/>
  <c r="BI33" i="1" a="1"/>
  <c r="BI33" i="1" s="1"/>
  <c r="BI34" i="1" a="1"/>
  <c r="BI34" i="1" s="1"/>
  <c r="BI35" i="1" a="1"/>
  <c r="BI35" i="1" s="1"/>
  <c r="BI36" i="1" a="1"/>
  <c r="BI36" i="1" s="1"/>
  <c r="BI37" i="1" a="1"/>
  <c r="BI37" i="1" s="1"/>
  <c r="BI38" i="1" a="1"/>
  <c r="BI38" i="1" s="1"/>
  <c r="BI39" i="1" a="1"/>
  <c r="BI39" i="1" s="1"/>
  <c r="BI40" i="1" a="1"/>
  <c r="BI40" i="1" s="1"/>
  <c r="BI41" i="1" a="1"/>
  <c r="BI41" i="1" s="1"/>
  <c r="BI42" i="1" a="1"/>
  <c r="BI42" i="1" s="1"/>
  <c r="BI43" i="1" a="1"/>
  <c r="BI43" i="1" s="1"/>
  <c r="BI44" i="1" a="1"/>
  <c r="BI44" i="1" s="1"/>
  <c r="BI45" i="1" a="1"/>
  <c r="BI45" i="1" s="1"/>
  <c r="BI46" i="1" a="1"/>
  <c r="BI46" i="1" s="1"/>
  <c r="BI47" i="1" a="1"/>
  <c r="BI47" i="1" s="1"/>
  <c r="BI48" i="1" a="1"/>
  <c r="BI48" i="1" s="1"/>
  <c r="BI49" i="1" a="1"/>
  <c r="BI49" i="1" s="1"/>
  <c r="BI50" i="1" a="1"/>
  <c r="BI50" i="1" s="1"/>
  <c r="BI51" i="1" a="1"/>
  <c r="BI51" i="1" s="1"/>
  <c r="BI52" i="1" a="1"/>
  <c r="BI52" i="1" s="1"/>
  <c r="BI53" i="1" a="1"/>
  <c r="BI53" i="1" s="1"/>
  <c r="BI54" i="1" a="1"/>
  <c r="BI54" i="1" s="1"/>
  <c r="BI55" i="1" a="1"/>
  <c r="BI55" i="1" s="1"/>
  <c r="BI56" i="1" a="1"/>
  <c r="BI56" i="1" s="1"/>
  <c r="BI57" i="1" a="1"/>
  <c r="BI57" i="1" s="1"/>
  <c r="BI58" i="1" a="1"/>
  <c r="BI58" i="1" s="1"/>
  <c r="BI59" i="1" a="1"/>
  <c r="BI59" i="1" s="1"/>
  <c r="BI60" i="1" a="1"/>
  <c r="BI60" i="1" s="1"/>
  <c r="BI61" i="1" a="1"/>
  <c r="BI61" i="1" s="1"/>
  <c r="BI62" i="1" a="1"/>
  <c r="BI62" i="1" s="1"/>
  <c r="BI63" i="1" a="1"/>
  <c r="BI63" i="1" s="1"/>
  <c r="BI64" i="1" a="1"/>
  <c r="BI64" i="1" s="1"/>
  <c r="BI65" i="1" a="1"/>
  <c r="BI65" i="1" s="1"/>
  <c r="BI66" i="1" a="1"/>
  <c r="BI66" i="1" s="1"/>
  <c r="BI67" i="1" a="1"/>
  <c r="BI67" i="1" s="1"/>
  <c r="BI68" i="1" a="1"/>
  <c r="BI68" i="1" s="1"/>
  <c r="BI69" i="1" a="1"/>
  <c r="BI69" i="1" s="1"/>
  <c r="BI70" i="1" a="1"/>
  <c r="BI70" i="1" s="1"/>
  <c r="BI71" i="1" a="1"/>
  <c r="BI71" i="1" s="1"/>
  <c r="BI72" i="1" a="1"/>
  <c r="BI72" i="1" s="1"/>
  <c r="BI73" i="1" a="1"/>
  <c r="BI73" i="1" s="1"/>
  <c r="BI74" i="1" a="1"/>
  <c r="BI74" i="1" s="1"/>
  <c r="BI75" i="1" a="1"/>
  <c r="BI75" i="1" s="1"/>
  <c r="BI76" i="1" a="1"/>
  <c r="BI76" i="1" s="1"/>
  <c r="BI77" i="1" a="1"/>
  <c r="BI77" i="1" s="1"/>
  <c r="BI78" i="1" a="1"/>
  <c r="BI78" i="1" s="1"/>
  <c r="BI79" i="1" a="1"/>
  <c r="BI79" i="1" s="1"/>
  <c r="BI80" i="1" a="1"/>
  <c r="BI80" i="1" s="1"/>
  <c r="BI81" i="1" a="1"/>
  <c r="BI81" i="1" s="1"/>
  <c r="BI82" i="1" a="1"/>
  <c r="BI82" i="1" s="1"/>
  <c r="BI83" i="1" a="1"/>
  <c r="BI83" i="1" s="1"/>
  <c r="BI84" i="1" a="1"/>
  <c r="BI84" i="1" s="1"/>
  <c r="BI85" i="1" a="1"/>
  <c r="BI85" i="1" s="1"/>
  <c r="BI86" i="1" a="1"/>
  <c r="BI86" i="1" s="1"/>
  <c r="BI87" i="1" a="1"/>
  <c r="BI87" i="1" s="1"/>
  <c r="BI88" i="1" a="1"/>
  <c r="BI88" i="1" s="1"/>
  <c r="BI89" i="1" a="1"/>
  <c r="BI89" i="1" s="1"/>
  <c r="BI90" i="1" a="1"/>
  <c r="BI90" i="1" s="1"/>
  <c r="BI91" i="1" a="1"/>
  <c r="BI91" i="1" s="1"/>
  <c r="BI92" i="1" a="1"/>
  <c r="BI92" i="1" s="1"/>
  <c r="BI93" i="1" a="1"/>
  <c r="BI93" i="1" s="1"/>
  <c r="BI94" i="1" a="1"/>
  <c r="BI94" i="1" s="1"/>
  <c r="BI95" i="1" a="1"/>
  <c r="BI95" i="1" s="1"/>
  <c r="BI96" i="1" a="1"/>
  <c r="BI96" i="1" s="1"/>
  <c r="BI97" i="1" a="1"/>
  <c r="BI97" i="1" s="1"/>
  <c r="BI98" i="1" a="1"/>
  <c r="BI98" i="1" s="1"/>
  <c r="BI99" i="1" a="1"/>
  <c r="BI99" i="1" s="1"/>
  <c r="BI100" i="1" a="1"/>
  <c r="BI100" i="1" s="1"/>
  <c r="BI101" i="1" a="1"/>
  <c r="BI101" i="1" s="1"/>
  <c r="BI102" i="1" a="1"/>
  <c r="BI102" i="1" s="1"/>
  <c r="BI103" i="1" a="1"/>
  <c r="BI103" i="1" s="1"/>
  <c r="BI104" i="1" a="1"/>
  <c r="BI104" i="1" s="1"/>
  <c r="BI105" i="1" a="1"/>
  <c r="BI105" i="1" s="1"/>
  <c r="BI106" i="1" a="1"/>
  <c r="BI106" i="1" s="1"/>
  <c r="BI107" i="1" a="1"/>
  <c r="BI107" i="1" s="1"/>
  <c r="BI108" i="1" a="1"/>
  <c r="BI108" i="1" s="1"/>
  <c r="BI109" i="1" a="1"/>
  <c r="BI109" i="1" s="1"/>
  <c r="BI110" i="1" a="1"/>
  <c r="BI110" i="1" s="1"/>
  <c r="BI111" i="1" a="1"/>
  <c r="BI111" i="1" s="1"/>
  <c r="BI112" i="1" a="1"/>
  <c r="BI112" i="1" s="1"/>
  <c r="BI113" i="1" a="1"/>
  <c r="BI113" i="1" s="1"/>
  <c r="BI114" i="1" a="1"/>
  <c r="BI114" i="1" s="1"/>
  <c r="BI115" i="1" a="1"/>
  <c r="BI115" i="1" s="1"/>
  <c r="BI116" i="1" a="1"/>
  <c r="BI116" i="1" s="1"/>
  <c r="BI117" i="1" a="1"/>
  <c r="BI117" i="1" s="1"/>
  <c r="BI118" i="1" a="1"/>
  <c r="BI118" i="1" s="1"/>
  <c r="BI119" i="1" a="1"/>
  <c r="BI119" i="1" s="1"/>
  <c r="BI120" i="1" a="1"/>
  <c r="BI120" i="1" s="1"/>
  <c r="BI121" i="1" a="1"/>
  <c r="BI121" i="1" s="1"/>
  <c r="BI122" i="1" a="1"/>
  <c r="BI122" i="1" s="1"/>
  <c r="BI123" i="1" a="1"/>
  <c r="BI123" i="1" s="1"/>
  <c r="BI124" i="1" a="1"/>
  <c r="BI124" i="1" s="1"/>
  <c r="BI125" i="1" a="1"/>
  <c r="BI125" i="1" s="1"/>
  <c r="BI126" i="1" a="1"/>
  <c r="BI126" i="1" s="1"/>
  <c r="BI127" i="1" a="1"/>
  <c r="BI127" i="1" s="1"/>
  <c r="BI8" i="1" a="1"/>
  <c r="BI8" i="1" s="1"/>
  <c r="BC8" i="1"/>
  <c r="AC10" i="2" l="1"/>
  <c r="AC9" i="2" s="1"/>
  <c r="AC8" i="2" s="1"/>
  <c r="AC7" i="2" s="1"/>
  <c r="AC6" i="2" s="1"/>
  <c r="AC5" i="2" s="1"/>
  <c r="AC4" i="2" s="1"/>
  <c r="AC3" i="2" s="1"/>
  <c r="S3" i="2"/>
  <c r="S4" i="2" s="1"/>
  <c r="S5" i="2" s="1"/>
  <c r="S6" i="2" s="1"/>
  <c r="M3" i="2"/>
  <c r="M4" i="2" s="1"/>
  <c r="M5" i="2" s="1"/>
  <c r="M6" i="2" s="1"/>
  <c r="M7" i="2" s="1"/>
  <c r="M8" i="2" s="1"/>
  <c r="M9" i="2" s="1"/>
  <c r="I3" i="2"/>
  <c r="I4" i="2" s="1"/>
  <c r="I5" i="2" s="1"/>
  <c r="I6" i="2" s="1"/>
  <c r="I7" i="2" s="1"/>
  <c r="I8" i="2" s="1"/>
  <c r="I9" i="2" s="1"/>
  <c r="K3" i="2"/>
  <c r="K4" i="2" s="1"/>
  <c r="K5" i="2" s="1"/>
  <c r="K6" i="2" s="1"/>
  <c r="AC12" i="2"/>
  <c r="I10" i="2" l="1"/>
  <c r="I11" i="2" s="1"/>
  <c r="I12" i="2"/>
  <c r="BR3" i="2"/>
  <c r="BR4" i="2" s="1"/>
  <c r="BR5" i="2" s="1"/>
  <c r="BR6" i="2" s="1"/>
  <c r="BR7" i="2" s="1"/>
  <c r="BR8" i="2" s="1"/>
  <c r="BR9" i="2" s="1"/>
  <c r="BR10" i="2" s="1"/>
  <c r="BR11" i="2" s="1"/>
  <c r="AQ8" i="2" l="1"/>
  <c r="AQ7" i="2" s="1"/>
  <c r="AQ6" i="2" s="1"/>
  <c r="AQ5" i="2" s="1"/>
  <c r="AQ4" i="2" s="1"/>
  <c r="AQ3" i="2" s="1"/>
  <c r="AQ2" i="2" s="1"/>
  <c r="AL7" i="2"/>
  <c r="AL6" i="2" s="1"/>
  <c r="AL5" i="2" s="1"/>
  <c r="AL4" i="2" s="1"/>
  <c r="AL3" i="2" s="1"/>
  <c r="AL2" i="2" l="1"/>
  <c r="M9" i="8"/>
  <c r="L9" i="8"/>
  <c r="K9" i="8"/>
  <c r="J9" i="8"/>
  <c r="M8" i="8"/>
  <c r="L8" i="8"/>
  <c r="K8" i="8"/>
  <c r="J8" i="8"/>
  <c r="M6" i="8"/>
  <c r="L6" i="8"/>
  <c r="K6" i="8"/>
  <c r="J6" i="8"/>
  <c r="M5" i="8"/>
  <c r="L5" i="8"/>
  <c r="K5" i="8"/>
  <c r="J5" i="8"/>
  <c r="M4" i="8"/>
  <c r="L4" i="8"/>
  <c r="K4" i="8"/>
  <c r="J4" i="8"/>
  <c r="AN10" i="2"/>
  <c r="AE7" i="2"/>
  <c r="AE8" i="2" s="1"/>
  <c r="AE9" i="2" s="1"/>
  <c r="AE10" i="2" s="1"/>
  <c r="AE11" i="2" s="1"/>
  <c r="AE12" i="2" s="1"/>
  <c r="BE4" i="2"/>
  <c r="P140" i="7"/>
  <c r="O140" i="7"/>
  <c r="M140" i="7"/>
  <c r="L140" i="7"/>
  <c r="J140" i="7"/>
  <c r="I140" i="7"/>
  <c r="H140" i="7"/>
  <c r="G140" i="7"/>
  <c r="E140" i="7"/>
  <c r="D140" i="7"/>
  <c r="P139" i="7"/>
  <c r="O139" i="7"/>
  <c r="M139" i="7"/>
  <c r="L139" i="7"/>
  <c r="J139" i="7"/>
  <c r="I139" i="7"/>
  <c r="H139" i="7"/>
  <c r="G139" i="7"/>
  <c r="E139" i="7"/>
  <c r="D139" i="7"/>
  <c r="P138" i="7"/>
  <c r="O138" i="7"/>
  <c r="M138" i="7"/>
  <c r="L138" i="7"/>
  <c r="J138" i="7"/>
  <c r="I138" i="7"/>
  <c r="H138" i="7"/>
  <c r="G138" i="7"/>
  <c r="E138" i="7"/>
  <c r="D138" i="7"/>
  <c r="P137" i="7"/>
  <c r="O137" i="7"/>
  <c r="M137" i="7"/>
  <c r="L137" i="7"/>
  <c r="J137" i="7"/>
  <c r="I137" i="7"/>
  <c r="H137" i="7"/>
  <c r="G137" i="7"/>
  <c r="E137" i="7"/>
  <c r="D137" i="7"/>
  <c r="P136" i="7"/>
  <c r="O136" i="7"/>
  <c r="M136" i="7"/>
  <c r="L136" i="7"/>
  <c r="J136" i="7"/>
  <c r="I136" i="7"/>
  <c r="H136" i="7"/>
  <c r="G136" i="7"/>
  <c r="E136" i="7"/>
  <c r="D136" i="7"/>
  <c r="P135" i="7"/>
  <c r="O135" i="7"/>
  <c r="M135" i="7"/>
  <c r="L135" i="7"/>
  <c r="J135" i="7"/>
  <c r="I135" i="7"/>
  <c r="H135" i="7"/>
  <c r="G135" i="7"/>
  <c r="E135" i="7"/>
  <c r="D135" i="7"/>
  <c r="P134" i="7"/>
  <c r="O134" i="7"/>
  <c r="M134" i="7"/>
  <c r="L134" i="7"/>
  <c r="J134" i="7"/>
  <c r="I134" i="7"/>
  <c r="H134" i="7"/>
  <c r="G134" i="7"/>
  <c r="E134" i="7"/>
  <c r="D134" i="7"/>
  <c r="P133" i="7"/>
  <c r="O133" i="7"/>
  <c r="M133" i="7"/>
  <c r="L133" i="7"/>
  <c r="J133" i="7"/>
  <c r="I133" i="7"/>
  <c r="H133" i="7"/>
  <c r="G133" i="7"/>
  <c r="E133" i="7"/>
  <c r="D133" i="7"/>
  <c r="P132" i="7"/>
  <c r="O132" i="7"/>
  <c r="M132" i="7"/>
  <c r="L132" i="7"/>
  <c r="J132" i="7"/>
  <c r="I132" i="7"/>
  <c r="H132" i="7"/>
  <c r="G132" i="7"/>
  <c r="E132" i="7"/>
  <c r="D132" i="7"/>
  <c r="P131" i="7"/>
  <c r="O131" i="7"/>
  <c r="M131" i="7"/>
  <c r="L131" i="7"/>
  <c r="J131" i="7"/>
  <c r="I131" i="7"/>
  <c r="H131" i="7"/>
  <c r="G131" i="7"/>
  <c r="E131" i="7"/>
  <c r="D131" i="7"/>
  <c r="P130" i="7"/>
  <c r="O130" i="7"/>
  <c r="M130" i="7"/>
  <c r="L130" i="7"/>
  <c r="J130" i="7"/>
  <c r="I130" i="7"/>
  <c r="H130" i="7"/>
  <c r="G130" i="7"/>
  <c r="E130" i="7"/>
  <c r="D130" i="7"/>
  <c r="P129" i="7"/>
  <c r="O129" i="7"/>
  <c r="M129" i="7"/>
  <c r="L129" i="7"/>
  <c r="J129" i="7"/>
  <c r="I129" i="7"/>
  <c r="H129" i="7"/>
  <c r="G129" i="7"/>
  <c r="E129" i="7"/>
  <c r="D129" i="7"/>
  <c r="P128" i="7"/>
  <c r="O128" i="7"/>
  <c r="M128" i="7"/>
  <c r="L128" i="7"/>
  <c r="J128" i="7"/>
  <c r="I128" i="7"/>
  <c r="H128" i="7"/>
  <c r="G128" i="7"/>
  <c r="E128" i="7"/>
  <c r="D128" i="7"/>
  <c r="P127" i="7"/>
  <c r="O127" i="7"/>
  <c r="M127" i="7"/>
  <c r="L127" i="7"/>
  <c r="J127" i="7"/>
  <c r="I127" i="7"/>
  <c r="H127" i="7"/>
  <c r="G127" i="7"/>
  <c r="E127" i="7"/>
  <c r="D127" i="7"/>
  <c r="P126" i="7"/>
  <c r="O126" i="7"/>
  <c r="M126" i="7"/>
  <c r="L126" i="7"/>
  <c r="J126" i="7"/>
  <c r="I126" i="7"/>
  <c r="H126" i="7"/>
  <c r="G126" i="7"/>
  <c r="E126" i="7"/>
  <c r="D126" i="7"/>
  <c r="P125" i="7"/>
  <c r="O125" i="7"/>
  <c r="M125" i="7"/>
  <c r="L125" i="7"/>
  <c r="J125" i="7"/>
  <c r="I125" i="7"/>
  <c r="H125" i="7"/>
  <c r="G125" i="7"/>
  <c r="E125" i="7"/>
  <c r="D125" i="7"/>
  <c r="P124" i="7"/>
  <c r="O124" i="7"/>
  <c r="M124" i="7"/>
  <c r="L124" i="7"/>
  <c r="J124" i="7"/>
  <c r="I124" i="7"/>
  <c r="H124" i="7"/>
  <c r="G124" i="7"/>
  <c r="E124" i="7"/>
  <c r="D124" i="7"/>
  <c r="P123" i="7"/>
  <c r="O123" i="7"/>
  <c r="M123" i="7"/>
  <c r="L123" i="7"/>
  <c r="J123" i="7"/>
  <c r="I123" i="7"/>
  <c r="H123" i="7"/>
  <c r="G123" i="7"/>
  <c r="E123" i="7"/>
  <c r="D123" i="7"/>
  <c r="P122" i="7"/>
  <c r="O122" i="7"/>
  <c r="M122" i="7"/>
  <c r="L122" i="7"/>
  <c r="J122" i="7"/>
  <c r="I122" i="7"/>
  <c r="H122" i="7"/>
  <c r="G122" i="7"/>
  <c r="E122" i="7"/>
  <c r="D122" i="7"/>
  <c r="P121" i="7"/>
  <c r="O121" i="7"/>
  <c r="M121" i="7"/>
  <c r="L121" i="7"/>
  <c r="J121" i="7"/>
  <c r="I121" i="7"/>
  <c r="H121" i="7"/>
  <c r="G121" i="7"/>
  <c r="E121" i="7"/>
  <c r="D121" i="7"/>
  <c r="P120" i="7"/>
  <c r="O120" i="7"/>
  <c r="M120" i="7"/>
  <c r="L120" i="7"/>
  <c r="J120" i="7"/>
  <c r="I120" i="7"/>
  <c r="H120" i="7"/>
  <c r="G120" i="7"/>
  <c r="E120" i="7"/>
  <c r="D120" i="7"/>
  <c r="P119" i="7"/>
  <c r="O119" i="7"/>
  <c r="M119" i="7"/>
  <c r="L119" i="7"/>
  <c r="J119" i="7"/>
  <c r="I119" i="7"/>
  <c r="H119" i="7"/>
  <c r="G119" i="7"/>
  <c r="E119" i="7"/>
  <c r="D119" i="7"/>
  <c r="P118" i="7"/>
  <c r="O118" i="7"/>
  <c r="M118" i="7"/>
  <c r="L118" i="7"/>
  <c r="J118" i="7"/>
  <c r="I118" i="7"/>
  <c r="H118" i="7"/>
  <c r="G118" i="7"/>
  <c r="E118" i="7"/>
  <c r="D118" i="7"/>
  <c r="P117" i="7"/>
  <c r="O117" i="7"/>
  <c r="M117" i="7"/>
  <c r="L117" i="7"/>
  <c r="J117" i="7"/>
  <c r="I117" i="7"/>
  <c r="H117" i="7"/>
  <c r="G117" i="7"/>
  <c r="E117" i="7"/>
  <c r="D117" i="7"/>
  <c r="P116" i="7"/>
  <c r="O116" i="7"/>
  <c r="M116" i="7"/>
  <c r="L116" i="7"/>
  <c r="J116" i="7"/>
  <c r="I116" i="7"/>
  <c r="H116" i="7"/>
  <c r="G116" i="7"/>
  <c r="E116" i="7"/>
  <c r="D116" i="7"/>
  <c r="P115" i="7"/>
  <c r="O115" i="7"/>
  <c r="M115" i="7"/>
  <c r="L115" i="7"/>
  <c r="J115" i="7"/>
  <c r="I115" i="7"/>
  <c r="H115" i="7"/>
  <c r="G115" i="7"/>
  <c r="E115" i="7"/>
  <c r="D115" i="7"/>
  <c r="P114" i="7"/>
  <c r="O114" i="7"/>
  <c r="M114" i="7"/>
  <c r="L114" i="7"/>
  <c r="J114" i="7"/>
  <c r="I114" i="7"/>
  <c r="H114" i="7"/>
  <c r="G114" i="7"/>
  <c r="E114" i="7"/>
  <c r="D114" i="7"/>
  <c r="P113" i="7"/>
  <c r="O113" i="7"/>
  <c r="M113" i="7"/>
  <c r="L113" i="7"/>
  <c r="J113" i="7"/>
  <c r="I113" i="7"/>
  <c r="H113" i="7"/>
  <c r="G113" i="7"/>
  <c r="E113" i="7"/>
  <c r="D113" i="7"/>
  <c r="P112" i="7"/>
  <c r="O112" i="7"/>
  <c r="M112" i="7"/>
  <c r="L112" i="7"/>
  <c r="J112" i="7"/>
  <c r="I112" i="7"/>
  <c r="H112" i="7"/>
  <c r="G112" i="7"/>
  <c r="E112" i="7"/>
  <c r="D112" i="7"/>
  <c r="P111" i="7"/>
  <c r="O111" i="7"/>
  <c r="M111" i="7"/>
  <c r="L111" i="7"/>
  <c r="J111" i="7"/>
  <c r="I111" i="7"/>
  <c r="H111" i="7"/>
  <c r="G111" i="7"/>
  <c r="E111" i="7"/>
  <c r="D111" i="7"/>
  <c r="P110" i="7"/>
  <c r="O110" i="7"/>
  <c r="M110" i="7"/>
  <c r="L110" i="7"/>
  <c r="J110" i="7"/>
  <c r="I110" i="7"/>
  <c r="H110" i="7"/>
  <c r="G110" i="7"/>
  <c r="E110" i="7"/>
  <c r="D110" i="7"/>
  <c r="P109" i="7"/>
  <c r="O109" i="7"/>
  <c r="M109" i="7"/>
  <c r="L109" i="7"/>
  <c r="J109" i="7"/>
  <c r="I109" i="7"/>
  <c r="H109" i="7"/>
  <c r="G109" i="7"/>
  <c r="E109" i="7"/>
  <c r="D109" i="7"/>
  <c r="P108" i="7"/>
  <c r="O108" i="7"/>
  <c r="M108" i="7"/>
  <c r="L108" i="7"/>
  <c r="J108" i="7"/>
  <c r="I108" i="7"/>
  <c r="H108" i="7"/>
  <c r="G108" i="7"/>
  <c r="E108" i="7"/>
  <c r="D108" i="7"/>
  <c r="P107" i="7"/>
  <c r="O107" i="7"/>
  <c r="M107" i="7"/>
  <c r="L107" i="7"/>
  <c r="J107" i="7"/>
  <c r="I107" i="7"/>
  <c r="H107" i="7"/>
  <c r="G107" i="7"/>
  <c r="E107" i="7"/>
  <c r="D107" i="7"/>
  <c r="P106" i="7"/>
  <c r="O106" i="7"/>
  <c r="M106" i="7"/>
  <c r="L106" i="7"/>
  <c r="J106" i="7"/>
  <c r="I106" i="7"/>
  <c r="H106" i="7"/>
  <c r="G106" i="7"/>
  <c r="E106" i="7"/>
  <c r="D106" i="7"/>
  <c r="P105" i="7"/>
  <c r="O105" i="7"/>
  <c r="M105" i="7"/>
  <c r="L105" i="7"/>
  <c r="J105" i="7"/>
  <c r="I105" i="7"/>
  <c r="H105" i="7"/>
  <c r="G105" i="7"/>
  <c r="E105" i="7"/>
  <c r="D105" i="7"/>
  <c r="P104" i="7"/>
  <c r="O104" i="7"/>
  <c r="M104" i="7"/>
  <c r="L104" i="7"/>
  <c r="J104" i="7"/>
  <c r="I104" i="7"/>
  <c r="H104" i="7"/>
  <c r="G104" i="7"/>
  <c r="E104" i="7"/>
  <c r="D104" i="7"/>
  <c r="P103" i="7"/>
  <c r="O103" i="7"/>
  <c r="M103" i="7"/>
  <c r="L103" i="7"/>
  <c r="J103" i="7"/>
  <c r="I103" i="7"/>
  <c r="H103" i="7"/>
  <c r="G103" i="7"/>
  <c r="E103" i="7"/>
  <c r="D103" i="7"/>
  <c r="P102" i="7"/>
  <c r="O102" i="7"/>
  <c r="M102" i="7"/>
  <c r="L102" i="7"/>
  <c r="J102" i="7"/>
  <c r="I102" i="7"/>
  <c r="H102" i="7"/>
  <c r="G102" i="7"/>
  <c r="E102" i="7"/>
  <c r="D102" i="7"/>
  <c r="P101" i="7"/>
  <c r="O101" i="7"/>
  <c r="M101" i="7"/>
  <c r="L101" i="7"/>
  <c r="J101" i="7"/>
  <c r="I101" i="7"/>
  <c r="H101" i="7"/>
  <c r="G101" i="7"/>
  <c r="E101" i="7"/>
  <c r="D101" i="7"/>
  <c r="P100" i="7"/>
  <c r="O100" i="7"/>
  <c r="M100" i="7"/>
  <c r="L100" i="7"/>
  <c r="J100" i="7"/>
  <c r="I100" i="7"/>
  <c r="H100" i="7"/>
  <c r="G100" i="7"/>
  <c r="E100" i="7"/>
  <c r="D100" i="7"/>
  <c r="P99" i="7"/>
  <c r="O99" i="7"/>
  <c r="M99" i="7"/>
  <c r="L99" i="7"/>
  <c r="J99" i="7"/>
  <c r="I99" i="7"/>
  <c r="H99" i="7"/>
  <c r="G99" i="7"/>
  <c r="E99" i="7"/>
  <c r="D99" i="7"/>
  <c r="P98" i="7"/>
  <c r="O98" i="7"/>
  <c r="M98" i="7"/>
  <c r="L98" i="7"/>
  <c r="J98" i="7"/>
  <c r="I98" i="7"/>
  <c r="H98" i="7"/>
  <c r="G98" i="7"/>
  <c r="E98" i="7"/>
  <c r="D98" i="7"/>
  <c r="P97" i="7"/>
  <c r="O97" i="7"/>
  <c r="M97" i="7"/>
  <c r="L97" i="7"/>
  <c r="J97" i="7"/>
  <c r="I97" i="7"/>
  <c r="H97" i="7"/>
  <c r="G97" i="7"/>
  <c r="E97" i="7"/>
  <c r="D97" i="7"/>
  <c r="P96" i="7"/>
  <c r="O96" i="7"/>
  <c r="M96" i="7"/>
  <c r="L96" i="7"/>
  <c r="J96" i="7"/>
  <c r="I96" i="7"/>
  <c r="H96" i="7"/>
  <c r="G96" i="7"/>
  <c r="E96" i="7"/>
  <c r="D96" i="7"/>
  <c r="P95" i="7"/>
  <c r="O95" i="7"/>
  <c r="M95" i="7"/>
  <c r="L95" i="7"/>
  <c r="J95" i="7"/>
  <c r="I95" i="7"/>
  <c r="H95" i="7"/>
  <c r="G95" i="7"/>
  <c r="E95" i="7"/>
  <c r="D95" i="7"/>
  <c r="P94" i="7"/>
  <c r="O94" i="7"/>
  <c r="M94" i="7"/>
  <c r="L94" i="7"/>
  <c r="J94" i="7"/>
  <c r="I94" i="7"/>
  <c r="H94" i="7"/>
  <c r="G94" i="7"/>
  <c r="E94" i="7"/>
  <c r="D94" i="7"/>
  <c r="P93" i="7"/>
  <c r="O93" i="7"/>
  <c r="M93" i="7"/>
  <c r="L93" i="7"/>
  <c r="J93" i="7"/>
  <c r="I93" i="7"/>
  <c r="H93" i="7"/>
  <c r="G93" i="7"/>
  <c r="E93" i="7"/>
  <c r="D93" i="7"/>
  <c r="P92" i="7"/>
  <c r="O92" i="7"/>
  <c r="M92" i="7"/>
  <c r="L92" i="7"/>
  <c r="J92" i="7"/>
  <c r="I92" i="7"/>
  <c r="H92" i="7"/>
  <c r="G92" i="7"/>
  <c r="E92" i="7"/>
  <c r="D92" i="7"/>
  <c r="P91" i="7"/>
  <c r="O91" i="7"/>
  <c r="M91" i="7"/>
  <c r="L91" i="7"/>
  <c r="J91" i="7"/>
  <c r="I91" i="7"/>
  <c r="H91" i="7"/>
  <c r="G91" i="7"/>
  <c r="E91" i="7"/>
  <c r="D91" i="7"/>
  <c r="P90" i="7"/>
  <c r="O90" i="7"/>
  <c r="M90" i="7"/>
  <c r="L90" i="7"/>
  <c r="J90" i="7"/>
  <c r="I90" i="7"/>
  <c r="H90" i="7"/>
  <c r="G90" i="7"/>
  <c r="E90" i="7"/>
  <c r="D90" i="7"/>
  <c r="P89" i="7"/>
  <c r="O89" i="7"/>
  <c r="M89" i="7"/>
  <c r="L89" i="7"/>
  <c r="J89" i="7"/>
  <c r="I89" i="7"/>
  <c r="H89" i="7"/>
  <c r="G89" i="7"/>
  <c r="E89" i="7"/>
  <c r="D89" i="7"/>
  <c r="P88" i="7"/>
  <c r="O88" i="7"/>
  <c r="M88" i="7"/>
  <c r="L88" i="7"/>
  <c r="J88" i="7"/>
  <c r="I88" i="7"/>
  <c r="H88" i="7"/>
  <c r="G88" i="7"/>
  <c r="E88" i="7"/>
  <c r="D88" i="7"/>
  <c r="P87" i="7"/>
  <c r="O87" i="7"/>
  <c r="M87" i="7"/>
  <c r="L87" i="7"/>
  <c r="J87" i="7"/>
  <c r="I87" i="7"/>
  <c r="H87" i="7"/>
  <c r="G87" i="7"/>
  <c r="E87" i="7"/>
  <c r="D87" i="7"/>
  <c r="P86" i="7"/>
  <c r="O86" i="7"/>
  <c r="M86" i="7"/>
  <c r="L86" i="7"/>
  <c r="J86" i="7"/>
  <c r="I86" i="7"/>
  <c r="H86" i="7"/>
  <c r="G86" i="7"/>
  <c r="E86" i="7"/>
  <c r="D86" i="7"/>
  <c r="P85" i="7"/>
  <c r="O85" i="7"/>
  <c r="M85" i="7"/>
  <c r="L85" i="7"/>
  <c r="J85" i="7"/>
  <c r="I85" i="7"/>
  <c r="H85" i="7"/>
  <c r="G85" i="7"/>
  <c r="E85" i="7"/>
  <c r="D85" i="7"/>
  <c r="P84" i="7"/>
  <c r="O84" i="7"/>
  <c r="M84" i="7"/>
  <c r="L84" i="7"/>
  <c r="J84" i="7"/>
  <c r="I84" i="7"/>
  <c r="H84" i="7"/>
  <c r="G84" i="7"/>
  <c r="E84" i="7"/>
  <c r="D84" i="7"/>
  <c r="P83" i="7"/>
  <c r="O83" i="7"/>
  <c r="M83" i="7"/>
  <c r="L83" i="7"/>
  <c r="J83" i="7"/>
  <c r="I83" i="7"/>
  <c r="H83" i="7"/>
  <c r="G83" i="7"/>
  <c r="E83" i="7"/>
  <c r="D83" i="7"/>
  <c r="P82" i="7"/>
  <c r="O82" i="7"/>
  <c r="M82" i="7"/>
  <c r="L82" i="7"/>
  <c r="J82" i="7"/>
  <c r="I82" i="7"/>
  <c r="H82" i="7"/>
  <c r="G82" i="7"/>
  <c r="E82" i="7"/>
  <c r="D82" i="7"/>
  <c r="P81" i="7"/>
  <c r="O81" i="7"/>
  <c r="M81" i="7"/>
  <c r="L81" i="7"/>
  <c r="J81" i="7"/>
  <c r="I81" i="7"/>
  <c r="H81" i="7"/>
  <c r="G81" i="7"/>
  <c r="E81" i="7"/>
  <c r="D81" i="7"/>
  <c r="P80" i="7"/>
  <c r="O80" i="7"/>
  <c r="M80" i="7"/>
  <c r="L80" i="7"/>
  <c r="J80" i="7"/>
  <c r="I80" i="7"/>
  <c r="H80" i="7"/>
  <c r="G80" i="7"/>
  <c r="E80" i="7"/>
  <c r="D80" i="7"/>
  <c r="P79" i="7"/>
  <c r="O79" i="7"/>
  <c r="M79" i="7"/>
  <c r="L79" i="7"/>
  <c r="J79" i="7"/>
  <c r="I79" i="7"/>
  <c r="H79" i="7"/>
  <c r="G79" i="7"/>
  <c r="E79" i="7"/>
  <c r="D79" i="7"/>
  <c r="P78" i="7"/>
  <c r="O78" i="7"/>
  <c r="M78" i="7"/>
  <c r="L78" i="7"/>
  <c r="J78" i="7"/>
  <c r="I78" i="7"/>
  <c r="H78" i="7"/>
  <c r="G78" i="7"/>
  <c r="E78" i="7"/>
  <c r="D78" i="7"/>
  <c r="P77" i="7"/>
  <c r="O77" i="7"/>
  <c r="M77" i="7"/>
  <c r="L77" i="7"/>
  <c r="J77" i="7"/>
  <c r="I77" i="7"/>
  <c r="H77" i="7"/>
  <c r="G77" i="7"/>
  <c r="E77" i="7"/>
  <c r="D77" i="7"/>
  <c r="P76" i="7"/>
  <c r="O76" i="7"/>
  <c r="M76" i="7"/>
  <c r="L76" i="7"/>
  <c r="J76" i="7"/>
  <c r="I76" i="7"/>
  <c r="H76" i="7"/>
  <c r="G76" i="7"/>
  <c r="E76" i="7"/>
  <c r="D76" i="7"/>
  <c r="P75" i="7"/>
  <c r="O75" i="7"/>
  <c r="M75" i="7"/>
  <c r="L75" i="7"/>
  <c r="J75" i="7"/>
  <c r="I75" i="7"/>
  <c r="H75" i="7"/>
  <c r="G75" i="7"/>
  <c r="E75" i="7"/>
  <c r="D75" i="7"/>
  <c r="P74" i="7"/>
  <c r="O74" i="7"/>
  <c r="M74" i="7"/>
  <c r="L74" i="7"/>
  <c r="J74" i="7"/>
  <c r="I74" i="7"/>
  <c r="H74" i="7"/>
  <c r="G74" i="7"/>
  <c r="E74" i="7"/>
  <c r="D74" i="7"/>
  <c r="P73" i="7"/>
  <c r="O73" i="7"/>
  <c r="M73" i="7"/>
  <c r="L73" i="7"/>
  <c r="J73" i="7"/>
  <c r="I73" i="7"/>
  <c r="H73" i="7"/>
  <c r="G73" i="7"/>
  <c r="E73" i="7"/>
  <c r="D73" i="7"/>
  <c r="P72" i="7"/>
  <c r="O72" i="7"/>
  <c r="M72" i="7"/>
  <c r="L72" i="7"/>
  <c r="J72" i="7"/>
  <c r="I72" i="7"/>
  <c r="H72" i="7"/>
  <c r="G72" i="7"/>
  <c r="E72" i="7"/>
  <c r="D72" i="7"/>
  <c r="P71" i="7"/>
  <c r="O71" i="7"/>
  <c r="M71" i="7"/>
  <c r="L71" i="7"/>
  <c r="J71" i="7"/>
  <c r="I71" i="7"/>
  <c r="H71" i="7"/>
  <c r="G71" i="7"/>
  <c r="E71" i="7"/>
  <c r="D71" i="7"/>
  <c r="P70" i="7"/>
  <c r="O70" i="7"/>
  <c r="M70" i="7"/>
  <c r="L70" i="7"/>
  <c r="J70" i="7"/>
  <c r="I70" i="7"/>
  <c r="H70" i="7"/>
  <c r="G70" i="7"/>
  <c r="E70" i="7"/>
  <c r="D70" i="7"/>
  <c r="P69" i="7"/>
  <c r="O69" i="7"/>
  <c r="M69" i="7"/>
  <c r="L69" i="7"/>
  <c r="J69" i="7"/>
  <c r="I69" i="7"/>
  <c r="H69" i="7"/>
  <c r="G69" i="7"/>
  <c r="E69" i="7"/>
  <c r="D69" i="7"/>
  <c r="P68" i="7"/>
  <c r="O68" i="7"/>
  <c r="M68" i="7"/>
  <c r="L68" i="7"/>
  <c r="J68" i="7"/>
  <c r="I68" i="7"/>
  <c r="H68" i="7"/>
  <c r="G68" i="7"/>
  <c r="E68" i="7"/>
  <c r="D68" i="7"/>
  <c r="P67" i="7"/>
  <c r="O67" i="7"/>
  <c r="M67" i="7"/>
  <c r="L67" i="7"/>
  <c r="J67" i="7"/>
  <c r="I67" i="7"/>
  <c r="H67" i="7"/>
  <c r="G67" i="7"/>
  <c r="E67" i="7"/>
  <c r="D67" i="7"/>
  <c r="P66" i="7"/>
  <c r="O66" i="7"/>
  <c r="M66" i="7"/>
  <c r="L66" i="7"/>
  <c r="J66" i="7"/>
  <c r="I66" i="7"/>
  <c r="H66" i="7"/>
  <c r="G66" i="7"/>
  <c r="E66" i="7"/>
  <c r="D66" i="7"/>
  <c r="P65" i="7"/>
  <c r="O65" i="7"/>
  <c r="M65" i="7"/>
  <c r="L65" i="7"/>
  <c r="J65" i="7"/>
  <c r="I65" i="7"/>
  <c r="H65" i="7"/>
  <c r="G65" i="7"/>
  <c r="E65" i="7"/>
  <c r="D65" i="7"/>
  <c r="P64" i="7"/>
  <c r="O64" i="7"/>
  <c r="M64" i="7"/>
  <c r="L64" i="7"/>
  <c r="J64" i="7"/>
  <c r="I64" i="7"/>
  <c r="H64" i="7"/>
  <c r="G64" i="7"/>
  <c r="E64" i="7"/>
  <c r="D64" i="7"/>
  <c r="P63" i="7"/>
  <c r="O63" i="7"/>
  <c r="M63" i="7"/>
  <c r="L63" i="7"/>
  <c r="J63" i="7"/>
  <c r="I63" i="7"/>
  <c r="H63" i="7"/>
  <c r="G63" i="7"/>
  <c r="E63" i="7"/>
  <c r="D63" i="7"/>
  <c r="P62" i="7"/>
  <c r="O62" i="7"/>
  <c r="M62" i="7"/>
  <c r="L62" i="7"/>
  <c r="J62" i="7"/>
  <c r="I62" i="7"/>
  <c r="H62" i="7"/>
  <c r="G62" i="7"/>
  <c r="E62" i="7"/>
  <c r="D62" i="7"/>
  <c r="P61" i="7"/>
  <c r="O61" i="7"/>
  <c r="M61" i="7"/>
  <c r="L61" i="7"/>
  <c r="J61" i="7"/>
  <c r="I61" i="7"/>
  <c r="H61" i="7"/>
  <c r="G61" i="7"/>
  <c r="E61" i="7"/>
  <c r="D61" i="7"/>
  <c r="P60" i="7"/>
  <c r="O60" i="7"/>
  <c r="M60" i="7"/>
  <c r="L60" i="7"/>
  <c r="J60" i="7"/>
  <c r="I60" i="7"/>
  <c r="H60" i="7"/>
  <c r="G60" i="7"/>
  <c r="E60" i="7"/>
  <c r="D60" i="7"/>
  <c r="P59" i="7"/>
  <c r="O59" i="7"/>
  <c r="M59" i="7"/>
  <c r="L59" i="7"/>
  <c r="J59" i="7"/>
  <c r="I59" i="7"/>
  <c r="H59" i="7"/>
  <c r="G59" i="7"/>
  <c r="E59" i="7"/>
  <c r="D59" i="7"/>
  <c r="P58" i="7"/>
  <c r="O58" i="7"/>
  <c r="M58" i="7"/>
  <c r="L58" i="7"/>
  <c r="J58" i="7"/>
  <c r="I58" i="7"/>
  <c r="H58" i="7"/>
  <c r="G58" i="7"/>
  <c r="E58" i="7"/>
  <c r="D58" i="7"/>
  <c r="P57" i="7"/>
  <c r="O57" i="7"/>
  <c r="M57" i="7"/>
  <c r="L57" i="7"/>
  <c r="J57" i="7"/>
  <c r="I57" i="7"/>
  <c r="H57" i="7"/>
  <c r="G57" i="7"/>
  <c r="E57" i="7"/>
  <c r="D57" i="7"/>
  <c r="P56" i="7"/>
  <c r="O56" i="7"/>
  <c r="M56" i="7"/>
  <c r="L56" i="7"/>
  <c r="J56" i="7"/>
  <c r="I56" i="7"/>
  <c r="H56" i="7"/>
  <c r="G56" i="7"/>
  <c r="E56" i="7"/>
  <c r="D56" i="7"/>
  <c r="P55" i="7"/>
  <c r="O55" i="7"/>
  <c r="M55" i="7"/>
  <c r="L55" i="7"/>
  <c r="J55" i="7"/>
  <c r="I55" i="7"/>
  <c r="H55" i="7"/>
  <c r="G55" i="7"/>
  <c r="E55" i="7"/>
  <c r="D55" i="7"/>
  <c r="P54" i="7"/>
  <c r="O54" i="7"/>
  <c r="M54" i="7"/>
  <c r="L54" i="7"/>
  <c r="J54" i="7"/>
  <c r="I54" i="7"/>
  <c r="H54" i="7"/>
  <c r="G54" i="7"/>
  <c r="E54" i="7"/>
  <c r="D54" i="7"/>
  <c r="P53" i="7"/>
  <c r="O53" i="7"/>
  <c r="M53" i="7"/>
  <c r="L53" i="7"/>
  <c r="J53" i="7"/>
  <c r="I53" i="7"/>
  <c r="H53" i="7"/>
  <c r="G53" i="7"/>
  <c r="E53" i="7"/>
  <c r="D53" i="7"/>
  <c r="P52" i="7"/>
  <c r="O52" i="7"/>
  <c r="M52" i="7"/>
  <c r="L52" i="7"/>
  <c r="J52" i="7"/>
  <c r="I52" i="7"/>
  <c r="H52" i="7"/>
  <c r="G52" i="7"/>
  <c r="E52" i="7"/>
  <c r="D52" i="7"/>
  <c r="P51" i="7"/>
  <c r="O51" i="7"/>
  <c r="M51" i="7"/>
  <c r="L51" i="7"/>
  <c r="J51" i="7"/>
  <c r="I51" i="7"/>
  <c r="H51" i="7"/>
  <c r="G51" i="7"/>
  <c r="E51" i="7"/>
  <c r="D51" i="7"/>
  <c r="P50" i="7"/>
  <c r="O50" i="7"/>
  <c r="M50" i="7"/>
  <c r="L50" i="7"/>
  <c r="J50" i="7"/>
  <c r="I50" i="7"/>
  <c r="H50" i="7"/>
  <c r="G50" i="7"/>
  <c r="E50" i="7"/>
  <c r="D50" i="7"/>
  <c r="P49" i="7"/>
  <c r="O49" i="7"/>
  <c r="M49" i="7"/>
  <c r="L49" i="7"/>
  <c r="J49" i="7"/>
  <c r="I49" i="7"/>
  <c r="H49" i="7"/>
  <c r="G49" i="7"/>
  <c r="E49" i="7"/>
  <c r="D49" i="7"/>
  <c r="P48" i="7"/>
  <c r="O48" i="7"/>
  <c r="M48" i="7"/>
  <c r="L48" i="7"/>
  <c r="J48" i="7"/>
  <c r="I48" i="7"/>
  <c r="H48" i="7"/>
  <c r="G48" i="7"/>
  <c r="E48" i="7"/>
  <c r="D48" i="7"/>
  <c r="P47" i="7"/>
  <c r="O47" i="7"/>
  <c r="M47" i="7"/>
  <c r="L47" i="7"/>
  <c r="J47" i="7"/>
  <c r="I47" i="7"/>
  <c r="H47" i="7"/>
  <c r="G47" i="7"/>
  <c r="E47" i="7"/>
  <c r="D47" i="7"/>
  <c r="P46" i="7"/>
  <c r="O46" i="7"/>
  <c r="M46" i="7"/>
  <c r="L46" i="7"/>
  <c r="J46" i="7"/>
  <c r="I46" i="7"/>
  <c r="H46" i="7"/>
  <c r="G46" i="7"/>
  <c r="E46" i="7"/>
  <c r="D46" i="7"/>
  <c r="P45" i="7"/>
  <c r="O45" i="7"/>
  <c r="M45" i="7"/>
  <c r="L45" i="7"/>
  <c r="J45" i="7"/>
  <c r="I45" i="7"/>
  <c r="H45" i="7"/>
  <c r="G45" i="7"/>
  <c r="E45" i="7"/>
  <c r="D45" i="7"/>
  <c r="P44" i="7"/>
  <c r="O44" i="7"/>
  <c r="M44" i="7"/>
  <c r="L44" i="7"/>
  <c r="J44" i="7"/>
  <c r="I44" i="7"/>
  <c r="H44" i="7"/>
  <c r="G44" i="7"/>
  <c r="E44" i="7"/>
  <c r="D44" i="7"/>
  <c r="P43" i="7"/>
  <c r="O43" i="7"/>
  <c r="M43" i="7"/>
  <c r="L43" i="7"/>
  <c r="J43" i="7"/>
  <c r="I43" i="7"/>
  <c r="H43" i="7"/>
  <c r="G43" i="7"/>
  <c r="E43" i="7"/>
  <c r="D43" i="7"/>
  <c r="P42" i="7"/>
  <c r="O42" i="7"/>
  <c r="M42" i="7"/>
  <c r="L42" i="7"/>
  <c r="J42" i="7"/>
  <c r="I42" i="7"/>
  <c r="H42" i="7"/>
  <c r="G42" i="7"/>
  <c r="E42" i="7"/>
  <c r="D42" i="7"/>
  <c r="P41" i="7"/>
  <c r="O41" i="7"/>
  <c r="M41" i="7"/>
  <c r="L41" i="7"/>
  <c r="J41" i="7"/>
  <c r="I41" i="7"/>
  <c r="H41" i="7"/>
  <c r="G41" i="7"/>
  <c r="E41" i="7"/>
  <c r="D41" i="7"/>
  <c r="P40" i="7"/>
  <c r="O40" i="7"/>
  <c r="M40" i="7"/>
  <c r="L40" i="7"/>
  <c r="J40" i="7"/>
  <c r="I40" i="7"/>
  <c r="H40" i="7"/>
  <c r="G40" i="7"/>
  <c r="E40" i="7"/>
  <c r="D40" i="7"/>
  <c r="P39" i="7"/>
  <c r="O39" i="7"/>
  <c r="M39" i="7"/>
  <c r="L39" i="7"/>
  <c r="J39" i="7"/>
  <c r="I39" i="7"/>
  <c r="H39" i="7"/>
  <c r="G39" i="7"/>
  <c r="E39" i="7"/>
  <c r="D39" i="7"/>
  <c r="P38" i="7"/>
  <c r="O38" i="7"/>
  <c r="M38" i="7"/>
  <c r="L38" i="7"/>
  <c r="J38" i="7"/>
  <c r="I38" i="7"/>
  <c r="H38" i="7"/>
  <c r="G38" i="7"/>
  <c r="E38" i="7"/>
  <c r="D38" i="7"/>
  <c r="P37" i="7"/>
  <c r="O37" i="7"/>
  <c r="M37" i="7"/>
  <c r="L37" i="7"/>
  <c r="J37" i="7"/>
  <c r="I37" i="7"/>
  <c r="H37" i="7"/>
  <c r="G37" i="7"/>
  <c r="E37" i="7"/>
  <c r="D37" i="7"/>
  <c r="P36" i="7"/>
  <c r="O36" i="7"/>
  <c r="M36" i="7"/>
  <c r="L36" i="7"/>
  <c r="J36" i="7"/>
  <c r="I36" i="7"/>
  <c r="H36" i="7"/>
  <c r="G36" i="7"/>
  <c r="E36" i="7"/>
  <c r="D36" i="7"/>
  <c r="P35" i="7"/>
  <c r="O35" i="7"/>
  <c r="M35" i="7"/>
  <c r="L35" i="7"/>
  <c r="J35" i="7"/>
  <c r="I35" i="7"/>
  <c r="H35" i="7"/>
  <c r="G35" i="7"/>
  <c r="E35" i="7"/>
  <c r="D35" i="7"/>
  <c r="P34" i="7"/>
  <c r="O34" i="7"/>
  <c r="M34" i="7"/>
  <c r="L34" i="7"/>
  <c r="J34" i="7"/>
  <c r="I34" i="7"/>
  <c r="H34" i="7"/>
  <c r="G34" i="7"/>
  <c r="E34" i="7"/>
  <c r="D34" i="7"/>
  <c r="P33" i="7"/>
  <c r="O33" i="7"/>
  <c r="M33" i="7"/>
  <c r="L33" i="7"/>
  <c r="J33" i="7"/>
  <c r="I33" i="7"/>
  <c r="H33" i="7"/>
  <c r="G33" i="7"/>
  <c r="E33" i="7"/>
  <c r="D33" i="7"/>
  <c r="P32" i="7"/>
  <c r="O32" i="7"/>
  <c r="M32" i="7"/>
  <c r="L32" i="7"/>
  <c r="J32" i="7"/>
  <c r="I32" i="7"/>
  <c r="H32" i="7"/>
  <c r="G32" i="7"/>
  <c r="E32" i="7"/>
  <c r="D32" i="7"/>
  <c r="P31" i="7"/>
  <c r="O31" i="7"/>
  <c r="M31" i="7"/>
  <c r="L31" i="7"/>
  <c r="J31" i="7"/>
  <c r="I31" i="7"/>
  <c r="H31" i="7"/>
  <c r="G31" i="7"/>
  <c r="E31" i="7"/>
  <c r="D31" i="7"/>
  <c r="P30" i="7"/>
  <c r="O30" i="7"/>
  <c r="M30" i="7"/>
  <c r="L30" i="7"/>
  <c r="J30" i="7"/>
  <c r="I30" i="7"/>
  <c r="H30" i="7"/>
  <c r="G30" i="7"/>
  <c r="E30" i="7"/>
  <c r="D30" i="7"/>
  <c r="P29" i="7"/>
  <c r="O29" i="7"/>
  <c r="M29" i="7"/>
  <c r="L29" i="7"/>
  <c r="J29" i="7"/>
  <c r="I29" i="7"/>
  <c r="H29" i="7"/>
  <c r="G29" i="7"/>
  <c r="E29" i="7"/>
  <c r="D29" i="7"/>
  <c r="P28" i="7"/>
  <c r="O28" i="7"/>
  <c r="M28" i="7"/>
  <c r="L28" i="7"/>
  <c r="J28" i="7"/>
  <c r="I28" i="7"/>
  <c r="H28" i="7"/>
  <c r="G28" i="7"/>
  <c r="E28" i="7"/>
  <c r="D28" i="7"/>
  <c r="P27" i="7"/>
  <c r="O27" i="7"/>
  <c r="M27" i="7"/>
  <c r="L27" i="7"/>
  <c r="J27" i="7"/>
  <c r="I27" i="7"/>
  <c r="H27" i="7"/>
  <c r="G27" i="7"/>
  <c r="E27" i="7"/>
  <c r="D27" i="7"/>
  <c r="P26" i="7"/>
  <c r="O26" i="7"/>
  <c r="M26" i="7"/>
  <c r="L26" i="7"/>
  <c r="J26" i="7"/>
  <c r="I26" i="7"/>
  <c r="H26" i="7"/>
  <c r="G26" i="7"/>
  <c r="E26" i="7"/>
  <c r="D26" i="7"/>
  <c r="P25" i="7"/>
  <c r="O25" i="7"/>
  <c r="M25" i="7"/>
  <c r="L25" i="7"/>
  <c r="J25" i="7"/>
  <c r="I25" i="7"/>
  <c r="H25" i="7"/>
  <c r="G25" i="7"/>
  <c r="E25" i="7"/>
  <c r="D25" i="7"/>
  <c r="P24" i="7"/>
  <c r="O24" i="7"/>
  <c r="M24" i="7"/>
  <c r="L24" i="7"/>
  <c r="J24" i="7"/>
  <c r="I24" i="7"/>
  <c r="H24" i="7"/>
  <c r="G24" i="7"/>
  <c r="E24" i="7"/>
  <c r="D24" i="7"/>
  <c r="P23" i="7"/>
  <c r="O23" i="7"/>
  <c r="M23" i="7"/>
  <c r="L23" i="7"/>
  <c r="J23" i="7"/>
  <c r="I23" i="7"/>
  <c r="H23" i="7"/>
  <c r="G23" i="7"/>
  <c r="E23" i="7"/>
  <c r="D23" i="7"/>
  <c r="C23" i="7"/>
  <c r="C24" i="7" s="1"/>
  <c r="C25" i="7" s="1"/>
  <c r="C26" i="7" s="1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C136" i="7" s="1"/>
  <c r="C137" i="7" s="1"/>
  <c r="C138" i="7" s="1"/>
  <c r="C139" i="7" s="1"/>
  <c r="C140" i="7" s="1"/>
  <c r="P22" i="7"/>
  <c r="O22" i="7"/>
  <c r="M22" i="7"/>
  <c r="L22" i="7"/>
  <c r="J22" i="7"/>
  <c r="I22" i="7"/>
  <c r="H22" i="7"/>
  <c r="G22" i="7"/>
  <c r="E22" i="7"/>
  <c r="D22" i="7"/>
  <c r="C22" i="7"/>
  <c r="P21" i="7"/>
  <c r="O21" i="7"/>
  <c r="M21" i="7"/>
  <c r="L21" i="7"/>
  <c r="J21" i="7"/>
  <c r="I21" i="7"/>
  <c r="H21" i="7"/>
  <c r="G21" i="7"/>
  <c r="E21" i="7"/>
  <c r="D21" i="7"/>
  <c r="E9" i="7"/>
  <c r="E8" i="7"/>
  <c r="E7" i="7"/>
  <c r="BJ127" i="1"/>
  <c r="BK127" i="1" s="1"/>
  <c r="BE127" i="1"/>
  <c r="BC127" i="1"/>
  <c r="W140" i="7" s="1"/>
  <c r="BJ126" i="1"/>
  <c r="BK126" i="1" s="1"/>
  <c r="BE126" i="1"/>
  <c r="Y139" i="7" s="1"/>
  <c r="BC126" i="1"/>
  <c r="W139" i="7" s="1"/>
  <c r="BJ125" i="1"/>
  <c r="BK125" i="1" s="1"/>
  <c r="BE125" i="1"/>
  <c r="BC125" i="1"/>
  <c r="W138" i="7" s="1"/>
  <c r="BJ124" i="1"/>
  <c r="BK124" i="1" s="1"/>
  <c r="BE124" i="1"/>
  <c r="BC124" i="1"/>
  <c r="W137" i="7" s="1"/>
  <c r="BJ123" i="1"/>
  <c r="BK123" i="1" s="1"/>
  <c r="BJ122" i="1"/>
  <c r="BK122" i="1" s="1"/>
  <c r="BC122" i="1"/>
  <c r="W135" i="7" s="1"/>
  <c r="BJ121" i="1"/>
  <c r="BK121" i="1" s="1"/>
  <c r="BE121" i="1"/>
  <c r="Y134" i="7" s="1"/>
  <c r="BC121" i="1"/>
  <c r="W134" i="7" s="1"/>
  <c r="BJ120" i="1"/>
  <c r="BK120" i="1" s="1"/>
  <c r="BC120" i="1"/>
  <c r="W133" i="7" s="1"/>
  <c r="BJ119" i="1"/>
  <c r="BK119" i="1" s="1"/>
  <c r="BE119" i="1"/>
  <c r="BJ118" i="1"/>
  <c r="BK118" i="1" s="1"/>
  <c r="BC118" i="1"/>
  <c r="W131" i="7" s="1"/>
  <c r="BJ117" i="1"/>
  <c r="BK117" i="1" s="1"/>
  <c r="BE117" i="1"/>
  <c r="Y130" i="7" s="1"/>
  <c r="BC117" i="1"/>
  <c r="W130" i="7" s="1"/>
  <c r="BJ116" i="1"/>
  <c r="BK116" i="1" s="1"/>
  <c r="BE116" i="1"/>
  <c r="BC116" i="1"/>
  <c r="W129" i="7" s="1"/>
  <c r="BJ115" i="1"/>
  <c r="BK115" i="1" s="1"/>
  <c r="BE115" i="1"/>
  <c r="BC115" i="1"/>
  <c r="W128" i="7" s="1"/>
  <c r="BJ114" i="1"/>
  <c r="BK114" i="1" s="1"/>
  <c r="BE114" i="1"/>
  <c r="BC114" i="1"/>
  <c r="W127" i="7" s="1"/>
  <c r="BJ113" i="1"/>
  <c r="BK113" i="1" s="1"/>
  <c r="BE113" i="1"/>
  <c r="BC113" i="1"/>
  <c r="W126" i="7" s="1"/>
  <c r="BJ112" i="1"/>
  <c r="BK112" i="1" s="1"/>
  <c r="BE112" i="1"/>
  <c r="Y125" i="7" s="1"/>
  <c r="BC112" i="1"/>
  <c r="W125" i="7" s="1"/>
  <c r="BJ111" i="1"/>
  <c r="BK111" i="1" s="1"/>
  <c r="BE111" i="1"/>
  <c r="BJ110" i="1"/>
  <c r="BK110" i="1" s="1"/>
  <c r="BE110" i="1"/>
  <c r="BC110" i="1"/>
  <c r="W123" i="7" s="1"/>
  <c r="BJ109" i="1"/>
  <c r="BK109" i="1" s="1"/>
  <c r="BC109" i="1"/>
  <c r="W122" i="7" s="1"/>
  <c r="BJ108" i="1"/>
  <c r="BK108" i="1" s="1"/>
  <c r="BE108" i="1"/>
  <c r="BC108" i="1"/>
  <c r="W121" i="7" s="1"/>
  <c r="BJ107" i="1"/>
  <c r="BK107" i="1" s="1"/>
  <c r="BE107" i="1"/>
  <c r="BC107" i="1"/>
  <c r="W120" i="7" s="1"/>
  <c r="BJ106" i="1"/>
  <c r="BK106" i="1" s="1"/>
  <c r="BJ105" i="1"/>
  <c r="BK105" i="1" s="1"/>
  <c r="BE105" i="1"/>
  <c r="BC105" i="1"/>
  <c r="W118" i="7" s="1"/>
  <c r="BJ104" i="1"/>
  <c r="BK104" i="1" s="1"/>
  <c r="BE104" i="1"/>
  <c r="Y117" i="7" s="1"/>
  <c r="BC104" i="1"/>
  <c r="W117" i="7" s="1"/>
  <c r="BJ103" i="1"/>
  <c r="BK103" i="1" s="1"/>
  <c r="BC103" i="1"/>
  <c r="W116" i="7" s="1"/>
  <c r="BJ102" i="1"/>
  <c r="BK102" i="1" s="1"/>
  <c r="BE102" i="1"/>
  <c r="BC102" i="1"/>
  <c r="W115" i="7" s="1"/>
  <c r="BJ101" i="1"/>
  <c r="BK101" i="1" s="1"/>
  <c r="BC101" i="1"/>
  <c r="W114" i="7" s="1"/>
  <c r="BJ100" i="1"/>
  <c r="BK100" i="1" s="1"/>
  <c r="BE100" i="1"/>
  <c r="Y113" i="7" s="1"/>
  <c r="BC100" i="1"/>
  <c r="W113" i="7" s="1"/>
  <c r="BJ99" i="1"/>
  <c r="BK99" i="1" s="1"/>
  <c r="BE99" i="1"/>
  <c r="BJ98" i="1"/>
  <c r="BK98" i="1" s="1"/>
  <c r="BE98" i="1"/>
  <c r="BC98" i="1"/>
  <c r="W111" i="7" s="1"/>
  <c r="BJ97" i="1"/>
  <c r="BK97" i="1" s="1"/>
  <c r="BE97" i="1"/>
  <c r="BC97" i="1"/>
  <c r="W110" i="7" s="1"/>
  <c r="BJ96" i="1"/>
  <c r="BK96" i="1" s="1"/>
  <c r="BE96" i="1"/>
  <c r="BC96" i="1"/>
  <c r="W109" i="7" s="1"/>
  <c r="BJ95" i="1"/>
  <c r="BK95" i="1" s="1"/>
  <c r="BE95" i="1"/>
  <c r="Y108" i="7" s="1"/>
  <c r="BC95" i="1"/>
  <c r="W108" i="7" s="1"/>
  <c r="BJ94" i="1"/>
  <c r="BK94" i="1" s="1"/>
  <c r="BE94" i="1"/>
  <c r="Y107" i="7" s="1"/>
  <c r="BJ93" i="1"/>
  <c r="BK93" i="1" s="1"/>
  <c r="BE93" i="1"/>
  <c r="BC93" i="1"/>
  <c r="W106" i="7" s="1"/>
  <c r="BJ92" i="1"/>
  <c r="BK92" i="1" s="1"/>
  <c r="BC92" i="1"/>
  <c r="W105" i="7" s="1"/>
  <c r="BJ91" i="1"/>
  <c r="BK91" i="1" s="1"/>
  <c r="BE91" i="1"/>
  <c r="BC91" i="1"/>
  <c r="W104" i="7" s="1"/>
  <c r="BJ90" i="1"/>
  <c r="BK90" i="1" s="1"/>
  <c r="BE90" i="1"/>
  <c r="BC90" i="1"/>
  <c r="W103" i="7" s="1"/>
  <c r="BJ89" i="1"/>
  <c r="BK89" i="1" s="1"/>
  <c r="BC89" i="1"/>
  <c r="W102" i="7" s="1"/>
  <c r="BJ88" i="1"/>
  <c r="BK88" i="1" s="1"/>
  <c r="BC88" i="1"/>
  <c r="W101" i="7" s="1"/>
  <c r="BJ87" i="1"/>
  <c r="BK87" i="1" s="1"/>
  <c r="BC87" i="1"/>
  <c r="W100" i="7" s="1"/>
  <c r="BJ86" i="1"/>
  <c r="BK86" i="1" s="1"/>
  <c r="BE86" i="1"/>
  <c r="Y99" i="7" s="1"/>
  <c r="BC86" i="1"/>
  <c r="W99" i="7" s="1"/>
  <c r="BJ85" i="1"/>
  <c r="BK85" i="1" s="1"/>
  <c r="BE85" i="1"/>
  <c r="BC85" i="1"/>
  <c r="W98" i="7" s="1"/>
  <c r="BJ84" i="1"/>
  <c r="BK84" i="1" s="1"/>
  <c r="BC84" i="1"/>
  <c r="W97" i="7" s="1"/>
  <c r="BJ83" i="1"/>
  <c r="BK83" i="1" s="1"/>
  <c r="BE83" i="1"/>
  <c r="Y96" i="7" s="1"/>
  <c r="BC83" i="1"/>
  <c r="W96" i="7" s="1"/>
  <c r="BJ82" i="1"/>
  <c r="BK82" i="1" s="1"/>
  <c r="BE82" i="1"/>
  <c r="BJ81" i="1"/>
  <c r="BK81" i="1" s="1"/>
  <c r="BE81" i="1"/>
  <c r="BC81" i="1"/>
  <c r="W94" i="7" s="1"/>
  <c r="BJ80" i="1"/>
  <c r="BK80" i="1" s="1"/>
  <c r="BC80" i="1"/>
  <c r="W93" i="7" s="1"/>
  <c r="BJ79" i="1"/>
  <c r="BK79" i="1" s="1"/>
  <c r="BE79" i="1"/>
  <c r="BC79" i="1"/>
  <c r="W92" i="7" s="1"/>
  <c r="BJ78" i="1"/>
  <c r="BK78" i="1" s="1"/>
  <c r="BE78" i="1"/>
  <c r="Y91" i="7" s="1"/>
  <c r="BC78" i="1"/>
  <c r="W91" i="7" s="1"/>
  <c r="BJ77" i="1"/>
  <c r="BK77" i="1" s="1"/>
  <c r="BE77" i="1"/>
  <c r="BC77" i="1"/>
  <c r="W90" i="7" s="1"/>
  <c r="BJ76" i="1"/>
  <c r="BK76" i="1" s="1"/>
  <c r="BE76" i="1"/>
  <c r="BC76" i="1"/>
  <c r="W89" i="7" s="1"/>
  <c r="BJ75" i="1"/>
  <c r="BK75" i="1" s="1"/>
  <c r="BC75" i="1"/>
  <c r="W88" i="7" s="1"/>
  <c r="BJ74" i="1"/>
  <c r="BK74" i="1" s="1"/>
  <c r="BE74" i="1"/>
  <c r="Y87" i="7" s="1"/>
  <c r="BJ73" i="1"/>
  <c r="BK73" i="1" s="1"/>
  <c r="BE73" i="1"/>
  <c r="BC73" i="1"/>
  <c r="W86" i="7" s="1"/>
  <c r="BJ72" i="1"/>
  <c r="BK72" i="1" s="1"/>
  <c r="BC72" i="1"/>
  <c r="W85" i="7" s="1"/>
  <c r="BJ71" i="1"/>
  <c r="BK71" i="1" s="1"/>
  <c r="BE71" i="1"/>
  <c r="BC71" i="1"/>
  <c r="W84" i="7" s="1"/>
  <c r="BJ70" i="1"/>
  <c r="BK70" i="1" s="1"/>
  <c r="BC70" i="1"/>
  <c r="W83" i="7" s="1"/>
  <c r="BJ69" i="1"/>
  <c r="BK69" i="1" s="1"/>
  <c r="BE69" i="1"/>
  <c r="Y82" i="7" s="1"/>
  <c r="BJ68" i="1"/>
  <c r="BK68" i="1" s="1"/>
  <c r="BE68" i="1"/>
  <c r="BC68" i="1"/>
  <c r="W81" i="7" s="1"/>
  <c r="BJ67" i="1"/>
  <c r="BK67" i="1" s="1"/>
  <c r="BE67" i="1"/>
  <c r="Y80" i="7" s="1"/>
  <c r="BC67" i="1"/>
  <c r="W80" i="7" s="1"/>
  <c r="BJ66" i="1"/>
  <c r="BK66" i="1" s="1"/>
  <c r="BE66" i="1"/>
  <c r="BC66" i="1"/>
  <c r="W79" i="7" s="1"/>
  <c r="BJ65" i="1"/>
  <c r="BK65" i="1" s="1"/>
  <c r="BE65" i="1"/>
  <c r="BJ64" i="1"/>
  <c r="BK64" i="1" s="1"/>
  <c r="BC64" i="1"/>
  <c r="W77" i="7" s="1"/>
  <c r="BJ63" i="1"/>
  <c r="BK63" i="1" s="1"/>
  <c r="BE63" i="1"/>
  <c r="BC63" i="1"/>
  <c r="W76" i="7" s="1"/>
  <c r="BJ62" i="1"/>
  <c r="BK62" i="1" s="1"/>
  <c r="BJ61" i="1"/>
  <c r="BK61" i="1" s="1"/>
  <c r="BC61" i="1"/>
  <c r="W74" i="7" s="1"/>
  <c r="BJ60" i="1"/>
  <c r="BK60" i="1" s="1"/>
  <c r="BE60" i="1"/>
  <c r="BC60" i="1"/>
  <c r="W73" i="7" s="1"/>
  <c r="BJ59" i="1"/>
  <c r="BK59" i="1" s="1"/>
  <c r="BC59" i="1"/>
  <c r="W72" i="7" s="1"/>
  <c r="BJ58" i="1"/>
  <c r="BK58" i="1" s="1"/>
  <c r="BE58" i="1"/>
  <c r="Y71" i="7" s="1"/>
  <c r="BC58" i="1"/>
  <c r="W71" i="7" s="1"/>
  <c r="BJ57" i="1"/>
  <c r="BK57" i="1" s="1"/>
  <c r="BE57" i="1"/>
  <c r="BC57" i="1"/>
  <c r="W70" i="7" s="1"/>
  <c r="BJ56" i="1"/>
  <c r="BK56" i="1" s="1"/>
  <c r="BE56" i="1"/>
  <c r="BC56" i="1"/>
  <c r="W69" i="7" s="1"/>
  <c r="BJ55" i="1"/>
  <c r="BK55" i="1" s="1"/>
  <c r="BE55" i="1"/>
  <c r="Y68" i="7" s="1"/>
  <c r="BC55" i="1"/>
  <c r="W68" i="7" s="1"/>
  <c r="BJ54" i="1"/>
  <c r="BK54" i="1" s="1"/>
  <c r="BJ53" i="1"/>
  <c r="BK53" i="1" s="1"/>
  <c r="BE53" i="1"/>
  <c r="BC53" i="1"/>
  <c r="W66" i="7" s="1"/>
  <c r="BJ52" i="1"/>
  <c r="BK52" i="1" s="1"/>
  <c r="BE52" i="1"/>
  <c r="BC52" i="1"/>
  <c r="W65" i="7" s="1"/>
  <c r="BJ51" i="1"/>
  <c r="BK51" i="1" s="1"/>
  <c r="BE51" i="1"/>
  <c r="BC51" i="1"/>
  <c r="W64" i="7" s="1"/>
  <c r="BJ50" i="1"/>
  <c r="BK50" i="1" s="1"/>
  <c r="BJ49" i="1"/>
  <c r="BK49" i="1" s="1"/>
  <c r="BE49" i="1"/>
  <c r="BC49" i="1"/>
  <c r="W62" i="7" s="1"/>
  <c r="BJ48" i="1"/>
  <c r="BK48" i="1" s="1"/>
  <c r="BE48" i="1"/>
  <c r="BC48" i="1"/>
  <c r="W61" i="7" s="1"/>
  <c r="BJ47" i="1"/>
  <c r="BK47" i="1" s="1"/>
  <c r="BC47" i="1"/>
  <c r="W60" i="7" s="1"/>
  <c r="BJ46" i="1"/>
  <c r="BK46" i="1" s="1"/>
  <c r="BE46" i="1"/>
  <c r="BJ45" i="1"/>
  <c r="BK45" i="1" s="1"/>
  <c r="BE45" i="1"/>
  <c r="Y58" i="7" s="1"/>
  <c r="BC45" i="1"/>
  <c r="W58" i="7" s="1"/>
  <c r="BJ44" i="1"/>
  <c r="BK44" i="1" s="1"/>
  <c r="BC44" i="1"/>
  <c r="W57" i="7" s="1"/>
  <c r="BJ43" i="1"/>
  <c r="BK43" i="1" s="1"/>
  <c r="BE43" i="1"/>
  <c r="BC43" i="1"/>
  <c r="W56" i="7" s="1"/>
  <c r="BJ42" i="1"/>
  <c r="BK42" i="1" s="1"/>
  <c r="BE42" i="1"/>
  <c r="Y55" i="7" s="1"/>
  <c r="BC42" i="1"/>
  <c r="W55" i="7" s="1"/>
  <c r="BJ41" i="1"/>
  <c r="BK41" i="1" s="1"/>
  <c r="BC41" i="1"/>
  <c r="W54" i="7" s="1"/>
  <c r="BJ40" i="1"/>
  <c r="BK40" i="1" s="1"/>
  <c r="BC40" i="1"/>
  <c r="W53" i="7" s="1"/>
  <c r="BJ39" i="1"/>
  <c r="BK39" i="1" s="1"/>
  <c r="BE39" i="1"/>
  <c r="Y52" i="7" s="1"/>
  <c r="BC39" i="1"/>
  <c r="W52" i="7" s="1"/>
  <c r="BJ38" i="1"/>
  <c r="BK38" i="1" s="1"/>
  <c r="BE38" i="1"/>
  <c r="BC38" i="1"/>
  <c r="W51" i="7" s="1"/>
  <c r="BJ37" i="1"/>
  <c r="BK37" i="1" s="1"/>
  <c r="BE37" i="1"/>
  <c r="BJ36" i="1"/>
  <c r="BK36" i="1" s="1"/>
  <c r="BC36" i="1"/>
  <c r="W49" i="7" s="1"/>
  <c r="BJ35" i="1"/>
  <c r="BK35" i="1" s="1"/>
  <c r="BC35" i="1"/>
  <c r="W48" i="7" s="1"/>
  <c r="BJ34" i="1"/>
  <c r="BK34" i="1" s="1"/>
  <c r="BE34" i="1"/>
  <c r="Y47" i="7" s="1"/>
  <c r="BJ33" i="1"/>
  <c r="BK33" i="1" s="1"/>
  <c r="BE33" i="1"/>
  <c r="BJ32" i="1"/>
  <c r="BK32" i="1" s="1"/>
  <c r="BE32" i="1"/>
  <c r="Y45" i="7" s="1"/>
  <c r="BC32" i="1"/>
  <c r="W45" i="7" s="1"/>
  <c r="BJ31" i="1"/>
  <c r="BK31" i="1" s="1"/>
  <c r="BC31" i="1"/>
  <c r="W44" i="7" s="1"/>
  <c r="BJ30" i="1"/>
  <c r="BK30" i="1" s="1"/>
  <c r="BE30" i="1"/>
  <c r="BC30" i="1"/>
  <c r="W43" i="7" s="1"/>
  <c r="BJ29" i="1"/>
  <c r="BK29" i="1" s="1"/>
  <c r="BC29" i="1"/>
  <c r="W42" i="7" s="1"/>
  <c r="BJ28" i="1"/>
  <c r="BK28" i="1" s="1"/>
  <c r="BJ27" i="1"/>
  <c r="BK27" i="1" s="1"/>
  <c r="BE27" i="1"/>
  <c r="Y40" i="7" s="1"/>
  <c r="BC27" i="1"/>
  <c r="W40" i="7" s="1"/>
  <c r="BJ26" i="1"/>
  <c r="BK26" i="1" s="1"/>
  <c r="BE26" i="1"/>
  <c r="Y39" i="7" s="1"/>
  <c r="BC26" i="1"/>
  <c r="W39" i="7" s="1"/>
  <c r="BJ25" i="1"/>
  <c r="BK25" i="1" s="1"/>
  <c r="BE25" i="1"/>
  <c r="Y38" i="7" s="1"/>
  <c r="BJ24" i="1"/>
  <c r="BK24" i="1" s="1"/>
  <c r="BC24" i="1"/>
  <c r="W37" i="7" s="1"/>
  <c r="BJ23" i="1"/>
  <c r="BK23" i="1" s="1"/>
  <c r="BC23" i="1"/>
  <c r="W36" i="7" s="1"/>
  <c r="BJ22" i="1"/>
  <c r="BK22" i="1" s="1"/>
  <c r="BE22" i="1"/>
  <c r="BJ21" i="1"/>
  <c r="BK21" i="1" s="1"/>
  <c r="BE21" i="1"/>
  <c r="Y34" i="7" s="1"/>
  <c r="BJ20" i="1"/>
  <c r="BK20" i="1" s="1"/>
  <c r="BC20" i="1"/>
  <c r="W33" i="7" s="1"/>
  <c r="BJ19" i="1"/>
  <c r="BK19" i="1" s="1"/>
  <c r="BE19" i="1"/>
  <c r="BC19" i="1"/>
  <c r="W32" i="7" s="1"/>
  <c r="BJ18" i="1"/>
  <c r="BK18" i="1" s="1"/>
  <c r="BE18" i="1"/>
  <c r="Y31" i="7" s="1"/>
  <c r="BC18" i="1"/>
  <c r="W31" i="7" s="1"/>
  <c r="BJ17" i="1"/>
  <c r="BK17" i="1" s="1"/>
  <c r="BC17" i="1"/>
  <c r="W30" i="7" s="1"/>
  <c r="BJ16" i="1"/>
  <c r="BK16" i="1" s="1"/>
  <c r="BC16" i="1"/>
  <c r="W29" i="7" s="1"/>
  <c r="BJ15" i="1"/>
  <c r="BK15" i="1" s="1"/>
  <c r="BE15" i="1"/>
  <c r="BC15" i="1"/>
  <c r="W28" i="7" s="1"/>
  <c r="BJ14" i="1"/>
  <c r="BK14" i="1" s="1"/>
  <c r="BE14" i="1"/>
  <c r="BC14" i="1"/>
  <c r="W27" i="7" s="1"/>
  <c r="BJ13" i="1"/>
  <c r="BK13" i="1" s="1"/>
  <c r="BC13" i="1"/>
  <c r="W26" i="7" s="1"/>
  <c r="BJ12" i="1"/>
  <c r="BK12" i="1" s="1"/>
  <c r="BE12" i="1"/>
  <c r="Y25" i="7" s="1"/>
  <c r="BC12" i="1"/>
  <c r="W25" i="7" s="1"/>
  <c r="BJ11" i="1"/>
  <c r="BK11" i="1" s="1"/>
  <c r="BE11" i="1"/>
  <c r="Y24" i="7" s="1"/>
  <c r="BC11" i="1"/>
  <c r="W24" i="7" s="1"/>
  <c r="BJ10" i="1"/>
  <c r="BK10" i="1" s="1"/>
  <c r="BE10" i="1"/>
  <c r="BJ9" i="1"/>
  <c r="BK9" i="1" s="1"/>
  <c r="BC9" i="1"/>
  <c r="W22" i="7" s="1"/>
  <c r="C9" i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BJ8" i="1"/>
  <c r="BK8" i="1" s="1"/>
  <c r="BE5" i="2" l="1"/>
  <c r="BE6" i="2" s="1"/>
  <c r="AX9" i="1"/>
  <c r="AX21" i="1"/>
  <c r="AQ21" i="1" s="1"/>
  <c r="AX33" i="1"/>
  <c r="AQ33" i="1" s="1"/>
  <c r="AX45" i="1"/>
  <c r="AQ45" i="1" s="1"/>
  <c r="AX57" i="1"/>
  <c r="AQ57" i="1" s="1"/>
  <c r="AX69" i="1"/>
  <c r="AQ69" i="1" s="1"/>
  <c r="AX81" i="1"/>
  <c r="AQ81" i="1" s="1"/>
  <c r="AX93" i="1"/>
  <c r="AQ93" i="1" s="1"/>
  <c r="AX10" i="1"/>
  <c r="AQ10" i="1" s="1"/>
  <c r="AX22" i="1"/>
  <c r="AQ22" i="1" s="1"/>
  <c r="AX34" i="1"/>
  <c r="AQ34" i="1" s="1"/>
  <c r="AU34" i="1" s="1"/>
  <c r="AX46" i="1"/>
  <c r="AQ46" i="1" s="1"/>
  <c r="AX58" i="1"/>
  <c r="AQ58" i="1" s="1"/>
  <c r="AX70" i="1"/>
  <c r="AQ70" i="1" s="1"/>
  <c r="AX82" i="1"/>
  <c r="AQ82" i="1" s="1"/>
  <c r="AX94" i="1"/>
  <c r="AQ94" i="1" s="1"/>
  <c r="AX11" i="1"/>
  <c r="AQ11" i="1" s="1"/>
  <c r="AX23" i="1"/>
  <c r="AQ23" i="1" s="1"/>
  <c r="AX35" i="1"/>
  <c r="AQ35" i="1" s="1"/>
  <c r="AX47" i="1"/>
  <c r="AQ47" i="1" s="1"/>
  <c r="AX59" i="1"/>
  <c r="AQ59" i="1" s="1"/>
  <c r="AX71" i="1"/>
  <c r="AQ71" i="1" s="1"/>
  <c r="AX83" i="1"/>
  <c r="AQ83" i="1" s="1"/>
  <c r="AX95" i="1"/>
  <c r="AQ95" i="1" s="1"/>
  <c r="AX12" i="1"/>
  <c r="AQ12" i="1" s="1"/>
  <c r="AX24" i="1"/>
  <c r="AQ24" i="1" s="1"/>
  <c r="AX36" i="1"/>
  <c r="AQ36" i="1" s="1"/>
  <c r="AX48" i="1"/>
  <c r="AQ48" i="1" s="1"/>
  <c r="AX60" i="1"/>
  <c r="AQ60" i="1" s="1"/>
  <c r="AX72" i="1"/>
  <c r="AQ72" i="1" s="1"/>
  <c r="AX84" i="1"/>
  <c r="AQ84" i="1" s="1"/>
  <c r="AX96" i="1"/>
  <c r="AQ96" i="1" s="1"/>
  <c r="AX13" i="1"/>
  <c r="AQ13" i="1" s="1"/>
  <c r="AU13" i="1" s="1"/>
  <c r="AX25" i="1"/>
  <c r="AQ25" i="1" s="1"/>
  <c r="AX37" i="1"/>
  <c r="AQ37" i="1" s="1"/>
  <c r="AX49" i="1"/>
  <c r="AQ49" i="1" s="1"/>
  <c r="AX61" i="1"/>
  <c r="AQ61" i="1" s="1"/>
  <c r="AX73" i="1"/>
  <c r="AQ73" i="1" s="1"/>
  <c r="AX85" i="1"/>
  <c r="AQ85" i="1" s="1"/>
  <c r="AX97" i="1"/>
  <c r="AQ97" i="1" s="1"/>
  <c r="AX109" i="1"/>
  <c r="AQ109" i="1" s="1"/>
  <c r="AX121" i="1"/>
  <c r="AQ121" i="1" s="1"/>
  <c r="AX110" i="1"/>
  <c r="AQ110" i="1" s="1"/>
  <c r="AX122" i="1"/>
  <c r="AQ122" i="1" s="1"/>
  <c r="AX111" i="1"/>
  <c r="AQ111" i="1" s="1"/>
  <c r="AX123" i="1"/>
  <c r="AQ123" i="1" s="1"/>
  <c r="AX112" i="1"/>
  <c r="AQ112" i="1" s="1"/>
  <c r="AX124" i="1"/>
  <c r="AQ124" i="1" s="1"/>
  <c r="AX113" i="1"/>
  <c r="AQ113" i="1" s="1"/>
  <c r="AX125" i="1"/>
  <c r="AQ125" i="1" s="1"/>
  <c r="AX114" i="1"/>
  <c r="AQ114" i="1" s="1"/>
  <c r="AX126" i="1"/>
  <c r="AQ126" i="1" s="1"/>
  <c r="AX115" i="1"/>
  <c r="AQ115" i="1" s="1"/>
  <c r="AX127" i="1"/>
  <c r="AQ127" i="1" s="1"/>
  <c r="AX116" i="1"/>
  <c r="AQ116" i="1" s="1"/>
  <c r="AX105" i="1"/>
  <c r="AQ105" i="1" s="1"/>
  <c r="AX117" i="1"/>
  <c r="AQ117" i="1" s="1"/>
  <c r="AU117" i="1" s="1"/>
  <c r="AX106" i="1"/>
  <c r="AQ106" i="1" s="1"/>
  <c r="AX118" i="1"/>
  <c r="AQ118" i="1" s="1"/>
  <c r="AX107" i="1"/>
  <c r="AQ107" i="1" s="1"/>
  <c r="AX119" i="1"/>
  <c r="AQ119" i="1" s="1"/>
  <c r="AX108" i="1"/>
  <c r="AQ108" i="1" s="1"/>
  <c r="AX120" i="1"/>
  <c r="AQ120" i="1" s="1"/>
  <c r="AX14" i="1"/>
  <c r="AQ14" i="1" s="1"/>
  <c r="AX26" i="1"/>
  <c r="AQ26" i="1" s="1"/>
  <c r="AX38" i="1"/>
  <c r="AQ38" i="1" s="1"/>
  <c r="AX50" i="1"/>
  <c r="AQ50" i="1" s="1"/>
  <c r="AX62" i="1"/>
  <c r="AQ62" i="1" s="1"/>
  <c r="AX74" i="1"/>
  <c r="AQ74" i="1" s="1"/>
  <c r="AX86" i="1"/>
  <c r="AQ86" i="1" s="1"/>
  <c r="AX98" i="1"/>
  <c r="AQ98" i="1" s="1"/>
  <c r="AU98" i="1" s="1"/>
  <c r="AX15" i="1"/>
  <c r="AQ15" i="1" s="1"/>
  <c r="AX27" i="1"/>
  <c r="AQ27" i="1" s="1"/>
  <c r="AX39" i="1"/>
  <c r="AQ39" i="1" s="1"/>
  <c r="AX51" i="1"/>
  <c r="AQ51" i="1" s="1"/>
  <c r="AX63" i="1"/>
  <c r="AQ63" i="1" s="1"/>
  <c r="AX75" i="1"/>
  <c r="AQ75" i="1" s="1"/>
  <c r="AX87" i="1"/>
  <c r="AQ87" i="1" s="1"/>
  <c r="AX99" i="1"/>
  <c r="AQ99" i="1" s="1"/>
  <c r="AX16" i="1"/>
  <c r="AQ16" i="1" s="1"/>
  <c r="AX28" i="1"/>
  <c r="AQ28" i="1" s="1"/>
  <c r="AX40" i="1"/>
  <c r="AQ40" i="1" s="1"/>
  <c r="AX52" i="1"/>
  <c r="AQ52" i="1" s="1"/>
  <c r="AX64" i="1"/>
  <c r="AQ64" i="1" s="1"/>
  <c r="AU64" i="1" s="1"/>
  <c r="AX76" i="1"/>
  <c r="AQ76" i="1" s="1"/>
  <c r="AX88" i="1"/>
  <c r="AQ88" i="1" s="1"/>
  <c r="AU88" i="1" s="1"/>
  <c r="AX100" i="1"/>
  <c r="AQ100" i="1" s="1"/>
  <c r="AU100" i="1" s="1"/>
  <c r="AX17" i="1"/>
  <c r="AQ17" i="1" s="1"/>
  <c r="AU17" i="1" s="1"/>
  <c r="AX29" i="1"/>
  <c r="AQ29" i="1" s="1"/>
  <c r="AU29" i="1" s="1"/>
  <c r="AX41" i="1"/>
  <c r="AQ41" i="1" s="1"/>
  <c r="AU41" i="1" s="1"/>
  <c r="AX53" i="1"/>
  <c r="AQ53" i="1" s="1"/>
  <c r="AU53" i="1" s="1"/>
  <c r="AX65" i="1"/>
  <c r="AQ65" i="1" s="1"/>
  <c r="AX77" i="1"/>
  <c r="AQ77" i="1" s="1"/>
  <c r="AX89" i="1"/>
  <c r="AQ89" i="1" s="1"/>
  <c r="AX101" i="1"/>
  <c r="AQ101" i="1" s="1"/>
  <c r="AX18" i="1"/>
  <c r="AQ18" i="1" s="1"/>
  <c r="AX30" i="1"/>
  <c r="AQ30" i="1" s="1"/>
  <c r="AU30" i="1" s="1"/>
  <c r="AX42" i="1"/>
  <c r="AQ42" i="1" s="1"/>
  <c r="AX54" i="1"/>
  <c r="AQ54" i="1" s="1"/>
  <c r="AX66" i="1"/>
  <c r="AQ66" i="1" s="1"/>
  <c r="AX78" i="1"/>
  <c r="AQ78" i="1" s="1"/>
  <c r="AX90" i="1"/>
  <c r="AQ90" i="1" s="1"/>
  <c r="AU90" i="1" s="1"/>
  <c r="AX102" i="1"/>
  <c r="AQ102" i="1" s="1"/>
  <c r="AX19" i="1"/>
  <c r="AQ19" i="1" s="1"/>
  <c r="AU19" i="1" s="1"/>
  <c r="AX31" i="1"/>
  <c r="AQ31" i="1" s="1"/>
  <c r="AU31" i="1" s="1"/>
  <c r="AX43" i="1"/>
  <c r="AQ43" i="1" s="1"/>
  <c r="AX55" i="1"/>
  <c r="AQ55" i="1" s="1"/>
  <c r="AX67" i="1"/>
  <c r="AQ67" i="1" s="1"/>
  <c r="AU67" i="1" s="1"/>
  <c r="AX79" i="1"/>
  <c r="AQ79" i="1" s="1"/>
  <c r="AU79" i="1" s="1"/>
  <c r="AX91" i="1"/>
  <c r="AQ91" i="1" s="1"/>
  <c r="AX103" i="1"/>
  <c r="AQ103" i="1" s="1"/>
  <c r="AU103" i="1" s="1"/>
  <c r="AX20" i="1"/>
  <c r="AQ20" i="1" s="1"/>
  <c r="AX32" i="1"/>
  <c r="AQ32" i="1" s="1"/>
  <c r="AU32" i="1" s="1"/>
  <c r="AX44" i="1"/>
  <c r="AQ44" i="1" s="1"/>
  <c r="AX56" i="1"/>
  <c r="AQ56" i="1" s="1"/>
  <c r="AU56" i="1" s="1"/>
  <c r="AX68" i="1"/>
  <c r="AQ68" i="1" s="1"/>
  <c r="AU68" i="1" s="1"/>
  <c r="AX80" i="1"/>
  <c r="AQ80" i="1" s="1"/>
  <c r="AU80" i="1" s="1"/>
  <c r="AX92" i="1"/>
  <c r="AQ92" i="1" s="1"/>
  <c r="AU92" i="1" s="1"/>
  <c r="AX104" i="1"/>
  <c r="AQ104" i="1" s="1"/>
  <c r="AV8" i="1"/>
  <c r="BE7" i="2"/>
  <c r="BE8" i="2" s="1"/>
  <c r="AV21" i="1"/>
  <c r="AV45" i="1"/>
  <c r="AV105" i="1"/>
  <c r="AV10" i="1"/>
  <c r="AV22" i="1"/>
  <c r="AV58" i="1"/>
  <c r="AV70" i="1"/>
  <c r="AV82" i="1"/>
  <c r="AV94" i="1"/>
  <c r="AV11" i="1"/>
  <c r="AV23" i="1"/>
  <c r="AV35" i="1"/>
  <c r="AV47" i="1"/>
  <c r="AV59" i="1"/>
  <c r="AV71" i="1"/>
  <c r="AV95" i="1"/>
  <c r="AV107" i="1"/>
  <c r="AV119" i="1"/>
  <c r="AV109" i="1"/>
  <c r="AV121" i="1"/>
  <c r="AV111" i="1"/>
  <c r="AV123" i="1"/>
  <c r="AV113" i="1"/>
  <c r="AV125" i="1"/>
  <c r="AV114" i="1"/>
  <c r="AV126" i="1"/>
  <c r="AV116" i="1"/>
  <c r="AV106" i="1"/>
  <c r="AV84" i="1"/>
  <c r="AV96" i="1"/>
  <c r="AV25" i="1"/>
  <c r="AV37" i="1"/>
  <c r="AV49" i="1"/>
  <c r="AV61" i="1"/>
  <c r="AV85" i="1"/>
  <c r="AV97" i="1"/>
  <c r="AV26" i="1"/>
  <c r="AV38" i="1"/>
  <c r="AV74" i="1"/>
  <c r="AV15" i="1"/>
  <c r="AV75" i="1"/>
  <c r="AV87" i="1"/>
  <c r="AV99" i="1"/>
  <c r="AV16" i="1"/>
  <c r="AV28" i="1"/>
  <c r="AV40" i="1"/>
  <c r="AV20" i="1"/>
  <c r="AV32" i="1"/>
  <c r="AV9" i="1"/>
  <c r="AV13" i="1"/>
  <c r="AU124" i="1"/>
  <c r="AV124" i="1"/>
  <c r="AU33" i="1"/>
  <c r="AV33" i="1"/>
  <c r="AU69" i="1"/>
  <c r="AV69" i="1"/>
  <c r="AU81" i="1"/>
  <c r="AV81" i="1"/>
  <c r="AU93" i="1"/>
  <c r="AV93" i="1"/>
  <c r="AU105" i="1"/>
  <c r="AU14" i="1"/>
  <c r="AV14" i="1"/>
  <c r="AU50" i="1"/>
  <c r="AV50" i="1"/>
  <c r="AU62" i="1"/>
  <c r="AV62" i="1"/>
  <c r="AU74" i="1"/>
  <c r="AU86" i="1"/>
  <c r="AV86" i="1"/>
  <c r="AU110" i="1"/>
  <c r="AV110" i="1"/>
  <c r="AU122" i="1"/>
  <c r="AV122" i="1"/>
  <c r="AU112" i="1"/>
  <c r="AV112" i="1"/>
  <c r="AU57" i="1"/>
  <c r="AV57" i="1"/>
  <c r="AU115" i="1"/>
  <c r="AV115" i="1"/>
  <c r="AU127" i="1"/>
  <c r="AV127" i="1"/>
  <c r="AU12" i="1"/>
  <c r="AV12" i="1"/>
  <c r="AU24" i="1"/>
  <c r="AV24" i="1"/>
  <c r="AU36" i="1"/>
  <c r="AV36" i="1"/>
  <c r="AU48" i="1"/>
  <c r="AV48" i="1"/>
  <c r="AU60" i="1"/>
  <c r="AV60" i="1"/>
  <c r="AU72" i="1"/>
  <c r="AV72" i="1"/>
  <c r="AU108" i="1"/>
  <c r="AV108" i="1"/>
  <c r="AU120" i="1"/>
  <c r="AV120" i="1"/>
  <c r="AU46" i="1"/>
  <c r="AV46" i="1"/>
  <c r="AU27" i="1"/>
  <c r="AV27" i="1"/>
  <c r="AU39" i="1"/>
  <c r="AV39" i="1"/>
  <c r="AU20" i="1"/>
  <c r="AU73" i="1"/>
  <c r="AV73" i="1"/>
  <c r="AU47" i="1"/>
  <c r="AU16" i="1"/>
  <c r="BE50" i="1"/>
  <c r="Y63" i="7" s="1"/>
  <c r="BE103" i="1"/>
  <c r="Y116" i="7" s="1"/>
  <c r="BE122" i="1"/>
  <c r="Y135" i="7" s="1"/>
  <c r="BE88" i="1"/>
  <c r="Y101" i="7" s="1"/>
  <c r="BE118" i="1"/>
  <c r="Y131" i="7" s="1"/>
  <c r="BE87" i="1"/>
  <c r="Y100" i="7" s="1"/>
  <c r="BE101" i="1"/>
  <c r="Y114" i="7" s="1"/>
  <c r="BE75" i="1"/>
  <c r="Y88" i="7" s="1"/>
  <c r="BF42" i="1"/>
  <c r="Z55" i="7" s="1"/>
  <c r="BE89" i="1"/>
  <c r="Y102" i="7" s="1"/>
  <c r="BE20" i="1"/>
  <c r="Y33" i="7" s="1"/>
  <c r="BE109" i="1"/>
  <c r="Y122" i="7" s="1"/>
  <c r="BE16" i="1"/>
  <c r="Y29" i="7" s="1"/>
  <c r="BE29" i="1"/>
  <c r="BF29" i="1" s="1"/>
  <c r="Z42" i="7" s="1"/>
  <c r="BE70" i="1"/>
  <c r="BE72" i="1"/>
  <c r="Y85" i="7" s="1"/>
  <c r="BE120" i="1"/>
  <c r="Y133" i="7" s="1"/>
  <c r="BE41" i="1"/>
  <c r="Y54" i="7" s="1"/>
  <c r="BE92" i="1"/>
  <c r="Y105" i="7" s="1"/>
  <c r="BE106" i="1"/>
  <c r="Y119" i="7" s="1"/>
  <c r="Y66" i="7"/>
  <c r="BF53" i="1"/>
  <c r="Z66" i="7" s="1"/>
  <c r="Y110" i="7"/>
  <c r="BF97" i="1"/>
  <c r="Z110" i="7" s="1"/>
  <c r="Y118" i="7"/>
  <c r="BF105" i="1"/>
  <c r="Z118" i="7" s="1"/>
  <c r="Y127" i="7"/>
  <c r="BF114" i="1"/>
  <c r="Z127" i="7" s="1"/>
  <c r="Y76" i="7"/>
  <c r="BF63" i="1"/>
  <c r="Z76" i="7" s="1"/>
  <c r="Y59" i="7"/>
  <c r="BF46" i="1"/>
  <c r="Z59" i="7" s="1"/>
  <c r="Y50" i="7"/>
  <c r="BF37" i="1"/>
  <c r="Z50" i="7" s="1"/>
  <c r="BF25" i="1"/>
  <c r="Z38" i="7" s="1"/>
  <c r="BE36" i="1"/>
  <c r="BF36" i="1" s="1"/>
  <c r="Z49" i="7" s="1"/>
  <c r="BF45" i="1"/>
  <c r="Z58" i="7" s="1"/>
  <c r="BF11" i="1"/>
  <c r="Z24" i="7" s="1"/>
  <c r="BE31" i="1"/>
  <c r="BF31" i="1" s="1"/>
  <c r="Z44" i="7" s="1"/>
  <c r="BE80" i="1"/>
  <c r="Y93" i="7" s="1"/>
  <c r="BF95" i="1"/>
  <c r="Z108" i="7" s="1"/>
  <c r="BF104" i="1"/>
  <c r="Z117" i="7" s="1"/>
  <c r="BF26" i="1"/>
  <c r="Z39" i="7" s="1"/>
  <c r="BE28" i="1"/>
  <c r="Y41" i="7" s="1"/>
  <c r="BF55" i="1"/>
  <c r="Z68" i="7" s="1"/>
  <c r="BE59" i="1"/>
  <c r="Y72" i="7" s="1"/>
  <c r="BE84" i="1"/>
  <c r="Y97" i="7" s="1"/>
  <c r="BE9" i="1"/>
  <c r="Y22" i="7" s="1"/>
  <c r="BE54" i="1"/>
  <c r="BF54" i="1" s="1"/>
  <c r="Z67" i="7" s="1"/>
  <c r="BE62" i="1"/>
  <c r="Y75" i="7" s="1"/>
  <c r="BF112" i="1"/>
  <c r="Z125" i="7" s="1"/>
  <c r="BF121" i="1"/>
  <c r="Z134" i="7" s="1"/>
  <c r="BE47" i="1"/>
  <c r="Y60" i="7" s="1"/>
  <c r="BE64" i="1"/>
  <c r="Y77" i="7" s="1"/>
  <c r="BE123" i="1"/>
  <c r="Y136" i="7" s="1"/>
  <c r="Y23" i="7"/>
  <c r="BF10" i="1"/>
  <c r="Z23" i="7" s="1"/>
  <c r="Y32" i="7"/>
  <c r="BF19" i="1"/>
  <c r="Z32" i="7" s="1"/>
  <c r="BF15" i="1"/>
  <c r="Z28" i="7" s="1"/>
  <c r="Y28" i="7"/>
  <c r="Y46" i="7"/>
  <c r="BF33" i="1"/>
  <c r="Z46" i="7" s="1"/>
  <c r="BF30" i="1"/>
  <c r="Z43" i="7" s="1"/>
  <c r="Y43" i="7"/>
  <c r="Y64" i="7"/>
  <c r="BF51" i="1"/>
  <c r="Z64" i="7" s="1"/>
  <c r="Y73" i="7"/>
  <c r="BF60" i="1"/>
  <c r="Z73" i="7" s="1"/>
  <c r="Y120" i="7"/>
  <c r="BF107" i="1"/>
  <c r="Z120" i="7" s="1"/>
  <c r="Y124" i="7"/>
  <c r="BF111" i="1"/>
  <c r="Z124" i="7" s="1"/>
  <c r="Y84" i="7"/>
  <c r="BF71" i="1"/>
  <c r="Z84" i="7" s="1"/>
  <c r="Y90" i="7"/>
  <c r="BF77" i="1"/>
  <c r="Z90" i="7" s="1"/>
  <c r="Y112" i="7"/>
  <c r="BF99" i="1"/>
  <c r="Z112" i="7" s="1"/>
  <c r="Y138" i="7"/>
  <c r="BF125" i="1"/>
  <c r="Z138" i="7" s="1"/>
  <c r="Y56" i="7"/>
  <c r="BF43" i="1"/>
  <c r="Z56" i="7" s="1"/>
  <c r="Y70" i="7"/>
  <c r="BF57" i="1"/>
  <c r="Z70" i="7" s="1"/>
  <c r="Y79" i="7"/>
  <c r="BF66" i="1"/>
  <c r="Z79" i="7" s="1"/>
  <c r="Y140" i="7"/>
  <c r="BF127" i="1"/>
  <c r="Z140" i="7" s="1"/>
  <c r="Y92" i="7"/>
  <c r="BF79" i="1"/>
  <c r="Z92" i="7" s="1"/>
  <c r="Y94" i="7"/>
  <c r="BF81" i="1"/>
  <c r="Z94" i="7" s="1"/>
  <c r="Y103" i="7"/>
  <c r="BF90" i="1"/>
  <c r="Z103" i="7" s="1"/>
  <c r="Y126" i="7"/>
  <c r="BF113" i="1"/>
  <c r="Z126" i="7" s="1"/>
  <c r="Y61" i="7"/>
  <c r="BF48" i="1"/>
  <c r="Z61" i="7" s="1"/>
  <c r="Y65" i="7"/>
  <c r="BF52" i="1"/>
  <c r="Z65" i="7" s="1"/>
  <c r="Y81" i="7"/>
  <c r="BF68" i="1"/>
  <c r="Z81" i="7" s="1"/>
  <c r="Y128" i="7"/>
  <c r="BF115" i="1"/>
  <c r="Z128" i="7" s="1"/>
  <c r="BF27" i="1"/>
  <c r="Z40" i="7" s="1"/>
  <c r="Y98" i="7"/>
  <c r="BF85" i="1"/>
  <c r="Z98" i="7" s="1"/>
  <c r="Y121" i="7"/>
  <c r="BF108" i="1"/>
  <c r="Z121" i="7" s="1"/>
  <c r="BF14" i="1"/>
  <c r="Z27" i="7" s="1"/>
  <c r="Y27" i="7"/>
  <c r="BF21" i="1"/>
  <c r="Z34" i="7" s="1"/>
  <c r="BE61" i="1"/>
  <c r="Y109" i="7"/>
  <c r="BF96" i="1"/>
  <c r="Z109" i="7" s="1"/>
  <c r="BE17" i="1"/>
  <c r="BE23" i="1"/>
  <c r="Y106" i="7"/>
  <c r="BF93" i="1"/>
  <c r="Z106" i="7" s="1"/>
  <c r="Y111" i="7"/>
  <c r="BF98" i="1"/>
  <c r="Z111" i="7" s="1"/>
  <c r="Y123" i="7"/>
  <c r="BF110" i="1"/>
  <c r="Z123" i="7" s="1"/>
  <c r="Y132" i="7"/>
  <c r="BF119" i="1"/>
  <c r="Z132" i="7" s="1"/>
  <c r="Y137" i="7"/>
  <c r="BF124" i="1"/>
  <c r="Z137" i="7" s="1"/>
  <c r="BF32" i="1"/>
  <c r="Z45" i="7" s="1"/>
  <c r="BE40" i="1"/>
  <c r="Y89" i="7"/>
  <c r="BF76" i="1"/>
  <c r="Z89" i="7" s="1"/>
  <c r="Y95" i="7"/>
  <c r="BF82" i="1"/>
  <c r="Z95" i="7" s="1"/>
  <c r="Y104" i="7"/>
  <c r="BF91" i="1"/>
  <c r="Z104" i="7" s="1"/>
  <c r="BF22" i="1"/>
  <c r="Z35" i="7" s="1"/>
  <c r="Y35" i="7"/>
  <c r="BE24" i="1"/>
  <c r="BF38" i="1"/>
  <c r="Z51" i="7" s="1"/>
  <c r="Y51" i="7"/>
  <c r="BE13" i="1"/>
  <c r="BF34" i="1"/>
  <c r="Z47" i="7" s="1"/>
  <c r="Y69" i="7"/>
  <c r="BF56" i="1"/>
  <c r="Z69" i="7" s="1"/>
  <c r="Y78" i="7"/>
  <c r="BF65" i="1"/>
  <c r="Z78" i="7" s="1"/>
  <c r="Y86" i="7"/>
  <c r="BF73" i="1"/>
  <c r="Z86" i="7" s="1"/>
  <c r="BF12" i="1"/>
  <c r="Z25" i="7" s="1"/>
  <c r="BF18" i="1"/>
  <c r="Z31" i="7" s="1"/>
  <c r="BE35" i="1"/>
  <c r="BE44" i="1"/>
  <c r="Y62" i="7"/>
  <c r="BF49" i="1"/>
  <c r="Z62" i="7" s="1"/>
  <c r="Y115" i="7"/>
  <c r="BF102" i="1"/>
  <c r="Z115" i="7" s="1"/>
  <c r="Y129" i="7"/>
  <c r="BF116" i="1"/>
  <c r="Z129" i="7" s="1"/>
  <c r="BF69" i="1"/>
  <c r="Z82" i="7" s="1"/>
  <c r="BF78" i="1"/>
  <c r="Z91" i="7" s="1"/>
  <c r="BF86" i="1"/>
  <c r="Z99" i="7" s="1"/>
  <c r="BF94" i="1"/>
  <c r="Z107" i="7" s="1"/>
  <c r="BF58" i="1"/>
  <c r="Z71" i="7" s="1"/>
  <c r="BF67" i="1"/>
  <c r="Z80" i="7" s="1"/>
  <c r="BF74" i="1"/>
  <c r="Z87" i="7" s="1"/>
  <c r="BF83" i="1"/>
  <c r="Z96" i="7" s="1"/>
  <c r="BF100" i="1"/>
  <c r="Z113" i="7" s="1"/>
  <c r="BF117" i="1"/>
  <c r="Z130" i="7" s="1"/>
  <c r="BF126" i="1"/>
  <c r="Z139" i="7" s="1"/>
  <c r="BF39" i="1"/>
  <c r="Z52" i="7" s="1"/>
  <c r="BC33" i="1"/>
  <c r="W46" i="7" s="1"/>
  <c r="BC99" i="1"/>
  <c r="W112" i="7" s="1"/>
  <c r="BC54" i="1"/>
  <c r="W67" i="7" s="1"/>
  <c r="BC21" i="1"/>
  <c r="W34" i="7" s="1"/>
  <c r="BC22" i="1"/>
  <c r="W35" i="7" s="1"/>
  <c r="BC69" i="1"/>
  <c r="W82" i="7" s="1"/>
  <c r="BC111" i="1"/>
  <c r="W124" i="7" s="1"/>
  <c r="BC28" i="1"/>
  <c r="W41" i="7" s="1"/>
  <c r="BC34" i="1"/>
  <c r="W47" i="7" s="1"/>
  <c r="BC94" i="1"/>
  <c r="W107" i="7" s="1"/>
  <c r="BC123" i="1"/>
  <c r="W136" i="7" s="1"/>
  <c r="BC62" i="1"/>
  <c r="W75" i="7" s="1"/>
  <c r="BC74" i="1"/>
  <c r="W87" i="7" s="1"/>
  <c r="BC82" i="1"/>
  <c r="W95" i="7" s="1"/>
  <c r="BC46" i="1"/>
  <c r="W59" i="7" s="1"/>
  <c r="BC106" i="1"/>
  <c r="W119" i="7" s="1"/>
  <c r="E13" i="7"/>
  <c r="W21" i="7"/>
  <c r="BC50" i="1"/>
  <c r="W63" i="7" s="1"/>
  <c r="BC119" i="1"/>
  <c r="W132" i="7" s="1"/>
  <c r="BC10" i="1"/>
  <c r="W23" i="7" s="1"/>
  <c r="BC25" i="1"/>
  <c r="W38" i="7" s="1"/>
  <c r="BC37" i="1"/>
  <c r="W50" i="7" s="1"/>
  <c r="BC65" i="1"/>
  <c r="W78" i="7" s="1"/>
  <c r="E10" i="7"/>
  <c r="BE8" i="1"/>
  <c r="AV17" i="1" l="1"/>
  <c r="AV56" i="1"/>
  <c r="AV44" i="1"/>
  <c r="AV55" i="1"/>
  <c r="AV43" i="1"/>
  <c r="AV31" i="1"/>
  <c r="AV19" i="1"/>
  <c r="AV63" i="1"/>
  <c r="AV102" i="1"/>
  <c r="AV104" i="1"/>
  <c r="AV78" i="1"/>
  <c r="AV92" i="1"/>
  <c r="AV66" i="1"/>
  <c r="AV80" i="1"/>
  <c r="AV29" i="1"/>
  <c r="AV91" i="1"/>
  <c r="AV30" i="1"/>
  <c r="AV117" i="1"/>
  <c r="AV89" i="1"/>
  <c r="AV77" i="1"/>
  <c r="AV65" i="1"/>
  <c r="AV100" i="1"/>
  <c r="AV53" i="1"/>
  <c r="AV68" i="1"/>
  <c r="AV41" i="1"/>
  <c r="AV34" i="1"/>
  <c r="AV51" i="1"/>
  <c r="AV103" i="1"/>
  <c r="AV54" i="1"/>
  <c r="AV88" i="1"/>
  <c r="AV118" i="1"/>
  <c r="AV42" i="1"/>
  <c r="AV76" i="1"/>
  <c r="AV64" i="1"/>
  <c r="AV90" i="1"/>
  <c r="AV98" i="1"/>
  <c r="AV79" i="1"/>
  <c r="AV18" i="1"/>
  <c r="AV52" i="1"/>
  <c r="AV83" i="1"/>
  <c r="AV67" i="1"/>
  <c r="AV101" i="1"/>
  <c r="BA112" i="1"/>
  <c r="U125" i="7" s="1"/>
  <c r="BA13" i="1"/>
  <c r="U26" i="7" s="1"/>
  <c r="AZ13" i="1"/>
  <c r="T26" i="7" s="1"/>
  <c r="AY13" i="1"/>
  <c r="S26" i="7" s="1"/>
  <c r="AS13" i="1"/>
  <c r="AZ105" i="1"/>
  <c r="T118" i="7" s="1"/>
  <c r="AY105" i="1"/>
  <c r="S118" i="7" s="1"/>
  <c r="AY127" i="1"/>
  <c r="S140" i="7" s="1"/>
  <c r="BA105" i="1"/>
  <c r="U118" i="7" s="1"/>
  <c r="BA8" i="1"/>
  <c r="AZ8" i="1"/>
  <c r="AS80" i="1"/>
  <c r="AY8" i="1"/>
  <c r="AY17" i="1"/>
  <c r="S30" i="7" s="1"/>
  <c r="AY36" i="1"/>
  <c r="S49" i="7" s="1"/>
  <c r="AS105" i="1"/>
  <c r="AZ127" i="1"/>
  <c r="T140" i="7" s="1"/>
  <c r="BA127" i="1"/>
  <c r="U140" i="7" s="1"/>
  <c r="AZ112" i="1"/>
  <c r="T125" i="7" s="1"/>
  <c r="AS17" i="1"/>
  <c r="AS36" i="1"/>
  <c r="AZ36" i="1"/>
  <c r="T49" i="7" s="1"/>
  <c r="AS127" i="1"/>
  <c r="AZ81" i="1"/>
  <c r="T94" i="7" s="1"/>
  <c r="AS112" i="1"/>
  <c r="AY81" i="1"/>
  <c r="S94" i="7" s="1"/>
  <c r="AY112" i="1"/>
  <c r="S125" i="7" s="1"/>
  <c r="AZ17" i="1"/>
  <c r="T30" i="7" s="1"/>
  <c r="AY86" i="1"/>
  <c r="S99" i="7" s="1"/>
  <c r="BA86" i="1"/>
  <c r="U99" i="7" s="1"/>
  <c r="AS86" i="1"/>
  <c r="AZ27" i="1"/>
  <c r="T40" i="7" s="1"/>
  <c r="AY27" i="1"/>
  <c r="S40" i="7" s="1"/>
  <c r="AY80" i="1"/>
  <c r="S93" i="7" s="1"/>
  <c r="AZ86" i="1"/>
  <c r="T99" i="7" s="1"/>
  <c r="AS57" i="1"/>
  <c r="AZ67" i="1"/>
  <c r="T80" i="7" s="1"/>
  <c r="BA27" i="1"/>
  <c r="U40" i="7" s="1"/>
  <c r="AZ80" i="1"/>
  <c r="T93" i="7" s="1"/>
  <c r="AZ117" i="1"/>
  <c r="T130" i="7" s="1"/>
  <c r="AS67" i="1"/>
  <c r="AS48" i="1"/>
  <c r="BA14" i="1"/>
  <c r="U27" i="7" s="1"/>
  <c r="BA67" i="1"/>
  <c r="U80" i="7" s="1"/>
  <c r="AZ62" i="1"/>
  <c r="T75" i="7" s="1"/>
  <c r="AZ50" i="1"/>
  <c r="T63" i="7" s="1"/>
  <c r="R43" i="7"/>
  <c r="BA124" i="1"/>
  <c r="U137" i="7" s="1"/>
  <c r="AZ19" i="1"/>
  <c r="T32" i="7" s="1"/>
  <c r="AS124" i="1"/>
  <c r="AS20" i="1"/>
  <c r="BA73" i="1"/>
  <c r="U86" i="7" s="1"/>
  <c r="BA46" i="1"/>
  <c r="U59" i="7" s="1"/>
  <c r="BA30" i="1"/>
  <c r="U43" i="7" s="1"/>
  <c r="AS30" i="1"/>
  <c r="AZ79" i="1"/>
  <c r="T92" i="7" s="1"/>
  <c r="AZ31" i="1"/>
  <c r="T44" i="7" s="1"/>
  <c r="AS31" i="1"/>
  <c r="AY31" i="1"/>
  <c r="S44" i="7" s="1"/>
  <c r="AY19" i="1"/>
  <c r="S32" i="7" s="1"/>
  <c r="AS117" i="1"/>
  <c r="AS33" i="1"/>
  <c r="AZ30" i="1"/>
  <c r="T43" i="7" s="1"/>
  <c r="BA117" i="1"/>
  <c r="U130" i="7" s="1"/>
  <c r="AY117" i="1"/>
  <c r="S130" i="7" s="1"/>
  <c r="AS60" i="1"/>
  <c r="AS29" i="1"/>
  <c r="AS110" i="1"/>
  <c r="AY122" i="1"/>
  <c r="S135" i="7" s="1"/>
  <c r="AY57" i="1"/>
  <c r="S70" i="7" s="1"/>
  <c r="BA57" i="1"/>
  <c r="U70" i="7" s="1"/>
  <c r="AY92" i="1"/>
  <c r="S105" i="7" s="1"/>
  <c r="BA53" i="1"/>
  <c r="U66" i="7" s="1"/>
  <c r="AZ74" i="1"/>
  <c r="T87" i="7" s="1"/>
  <c r="AZ34" i="1"/>
  <c r="T47" i="7" s="1"/>
  <c r="R26" i="7"/>
  <c r="BA39" i="1"/>
  <c r="U52" i="7" s="1"/>
  <c r="AS92" i="1"/>
  <c r="AY34" i="1"/>
  <c r="S47" i="7" s="1"/>
  <c r="BA34" i="1"/>
  <c r="U47" i="7" s="1"/>
  <c r="AZ110" i="1"/>
  <c r="T123" i="7" s="1"/>
  <c r="R93" i="7"/>
  <c r="AY20" i="1"/>
  <c r="S33" i="7" s="1"/>
  <c r="AS14" i="1"/>
  <c r="AZ39" i="1"/>
  <c r="T52" i="7" s="1"/>
  <c r="AY48" i="1"/>
  <c r="S61" i="7" s="1"/>
  <c r="AS39" i="1"/>
  <c r="AY33" i="1"/>
  <c r="S46" i="7" s="1"/>
  <c r="AY29" i="1"/>
  <c r="S42" i="7" s="1"/>
  <c r="AZ92" i="1"/>
  <c r="T105" i="7" s="1"/>
  <c r="AY50" i="1"/>
  <c r="S63" i="7" s="1"/>
  <c r="AY103" i="1"/>
  <c r="S116" i="7" s="1"/>
  <c r="AY41" i="1"/>
  <c r="S54" i="7" s="1"/>
  <c r="AS122" i="1"/>
  <c r="AY14" i="1"/>
  <c r="S27" i="7" s="1"/>
  <c r="BA98" i="1"/>
  <c r="U111" i="7" s="1"/>
  <c r="AZ103" i="1"/>
  <c r="T116" i="7" s="1"/>
  <c r="AZ41" i="1"/>
  <c r="T54" i="7" s="1"/>
  <c r="BA12" i="1"/>
  <c r="U25" i="7" s="1"/>
  <c r="AS27" i="1"/>
  <c r="AY30" i="1"/>
  <c r="S43" i="7" s="1"/>
  <c r="BA17" i="1"/>
  <c r="U30" i="7" s="1"/>
  <c r="AS41" i="1"/>
  <c r="R45" i="7"/>
  <c r="BA32" i="1"/>
  <c r="U45" i="7" s="1"/>
  <c r="AS32" i="1"/>
  <c r="AY32" i="1"/>
  <c r="S45" i="7" s="1"/>
  <c r="AS93" i="1"/>
  <c r="BA93" i="1"/>
  <c r="U106" i="7" s="1"/>
  <c r="AZ46" i="1"/>
  <c r="T59" i="7" s="1"/>
  <c r="AY62" i="1"/>
  <c r="S75" i="7" s="1"/>
  <c r="AS46" i="1"/>
  <c r="R46" i="7"/>
  <c r="BA33" i="1"/>
  <c r="U46" i="7" s="1"/>
  <c r="AZ32" i="1"/>
  <c r="T45" i="7" s="1"/>
  <c r="R86" i="7"/>
  <c r="AZ122" i="1"/>
  <c r="T135" i="7" s="1"/>
  <c r="AZ124" i="1"/>
  <c r="T137" i="7" s="1"/>
  <c r="AZ20" i="1"/>
  <c r="T33" i="7" s="1"/>
  <c r="AZ48" i="1"/>
  <c r="T61" i="7" s="1"/>
  <c r="AS98" i="1"/>
  <c r="AS19" i="1"/>
  <c r="BA48" i="1"/>
  <c r="U61" i="7" s="1"/>
  <c r="AS56" i="1"/>
  <c r="AS62" i="1"/>
  <c r="AZ125" i="1"/>
  <c r="T138" i="7" s="1"/>
  <c r="AU125" i="1"/>
  <c r="AZ96" i="1"/>
  <c r="T109" i="7" s="1"/>
  <c r="AU96" i="1"/>
  <c r="R78" i="7"/>
  <c r="AU65" i="1"/>
  <c r="AS76" i="1"/>
  <c r="AU76" i="1"/>
  <c r="BA113" i="1"/>
  <c r="U126" i="7" s="1"/>
  <c r="AU113" i="1"/>
  <c r="AZ93" i="1"/>
  <c r="T106" i="7" s="1"/>
  <c r="R53" i="7"/>
  <c r="AU40" i="1"/>
  <c r="AZ42" i="1"/>
  <c r="T55" i="7" s="1"/>
  <c r="AU42" i="1"/>
  <c r="AZ25" i="1"/>
  <c r="T38" i="7" s="1"/>
  <c r="AU25" i="1"/>
  <c r="AY69" i="1"/>
  <c r="S82" i="7" s="1"/>
  <c r="AS21" i="1"/>
  <c r="AU21" i="1"/>
  <c r="BA97" i="1"/>
  <c r="U110" i="7" s="1"/>
  <c r="AU97" i="1"/>
  <c r="BA100" i="1"/>
  <c r="U113" i="7" s="1"/>
  <c r="BA111" i="1"/>
  <c r="U124" i="7" s="1"/>
  <c r="AU111" i="1"/>
  <c r="AZ114" i="1"/>
  <c r="T127" i="7" s="1"/>
  <c r="AU114" i="1"/>
  <c r="R102" i="7"/>
  <c r="AU89" i="1"/>
  <c r="AY45" i="1"/>
  <c r="S58" i="7" s="1"/>
  <c r="AU45" i="1"/>
  <c r="AS104" i="1"/>
  <c r="AU104" i="1"/>
  <c r="BA58" i="1"/>
  <c r="U71" i="7" s="1"/>
  <c r="AU58" i="1"/>
  <c r="BA68" i="1"/>
  <c r="U81" i="7" s="1"/>
  <c r="AS50" i="1"/>
  <c r="BA69" i="1"/>
  <c r="U82" i="7" s="1"/>
  <c r="AZ61" i="1"/>
  <c r="T74" i="7" s="1"/>
  <c r="AU61" i="1"/>
  <c r="AZ108" i="1"/>
  <c r="T121" i="7" s="1"/>
  <c r="AS26" i="1"/>
  <c r="AU26" i="1"/>
  <c r="R97" i="7"/>
  <c r="AU84" i="1"/>
  <c r="AY95" i="1"/>
  <c r="S108" i="7" s="1"/>
  <c r="AU95" i="1"/>
  <c r="AS115" i="1"/>
  <c r="AZ123" i="1"/>
  <c r="T136" i="7" s="1"/>
  <c r="AU123" i="1"/>
  <c r="AS88" i="1"/>
  <c r="BA90" i="1"/>
  <c r="U103" i="7" s="1"/>
  <c r="AZ85" i="1"/>
  <c r="T98" i="7" s="1"/>
  <c r="AU85" i="1"/>
  <c r="AY59" i="1"/>
  <c r="S72" i="7" s="1"/>
  <c r="AU59" i="1"/>
  <c r="AS12" i="1"/>
  <c r="BA37" i="1"/>
  <c r="U50" i="7" s="1"/>
  <c r="AU37" i="1"/>
  <c r="AZ118" i="1"/>
  <c r="T131" i="7" s="1"/>
  <c r="AU118" i="1"/>
  <c r="R81" i="7"/>
  <c r="AZ116" i="1"/>
  <c r="T129" i="7" s="1"/>
  <c r="AU116" i="1"/>
  <c r="AY74" i="1"/>
  <c r="S87" i="7" s="1"/>
  <c r="AY119" i="1"/>
  <c r="S132" i="7" s="1"/>
  <c r="AU119" i="1"/>
  <c r="AY53" i="1"/>
  <c r="S66" i="7" s="1"/>
  <c r="AY88" i="1"/>
  <c r="S101" i="7" s="1"/>
  <c r="AS53" i="1"/>
  <c r="R134" i="7"/>
  <c r="AU121" i="1"/>
  <c r="BA10" i="1"/>
  <c r="U23" i="7" s="1"/>
  <c r="AU10" i="1"/>
  <c r="R90" i="7"/>
  <c r="AU77" i="1"/>
  <c r="AS100" i="1"/>
  <c r="AZ120" i="1"/>
  <c r="T133" i="7" s="1"/>
  <c r="AY83" i="1"/>
  <c r="S96" i="7" s="1"/>
  <c r="AU83" i="1"/>
  <c r="AY115" i="1"/>
  <c r="S128" i="7" s="1"/>
  <c r="AY108" i="1"/>
  <c r="S121" i="7" s="1"/>
  <c r="AS72" i="1"/>
  <c r="AY126" i="1"/>
  <c r="S139" i="7" s="1"/>
  <c r="AU126" i="1"/>
  <c r="AZ115" i="1"/>
  <c r="T128" i="7" s="1"/>
  <c r="AS103" i="1"/>
  <c r="AY93" i="1"/>
  <c r="S106" i="7" s="1"/>
  <c r="AY72" i="1"/>
  <c r="S85" i="7" s="1"/>
  <c r="R33" i="7"/>
  <c r="BA79" i="1"/>
  <c r="U92" i="7" s="1"/>
  <c r="BA115" i="1"/>
  <c r="U128" i="7" s="1"/>
  <c r="AS79" i="1"/>
  <c r="AZ72" i="1"/>
  <c r="T85" i="7" s="1"/>
  <c r="AZ73" i="1"/>
  <c r="T86" i="7" s="1"/>
  <c r="AY87" i="1"/>
  <c r="S100" i="7" s="1"/>
  <c r="AU87" i="1"/>
  <c r="AZ69" i="1"/>
  <c r="T82" i="7" s="1"/>
  <c r="AZ88" i="1"/>
  <c r="T101" i="7" s="1"/>
  <c r="AY100" i="1"/>
  <c r="S113" i="7" s="1"/>
  <c r="AY60" i="1"/>
  <c r="S73" i="7" s="1"/>
  <c r="AS24" i="1"/>
  <c r="AS81" i="1"/>
  <c r="R105" i="7"/>
  <c r="BA81" i="1"/>
  <c r="U94" i="7" s="1"/>
  <c r="BA19" i="1"/>
  <c r="U32" i="7" s="1"/>
  <c r="R119" i="7"/>
  <c r="AU106" i="1"/>
  <c r="AY78" i="1"/>
  <c r="S91" i="7" s="1"/>
  <c r="AU78" i="1"/>
  <c r="R88" i="7"/>
  <c r="AU75" i="1"/>
  <c r="AS43" i="1"/>
  <c r="AU43" i="1"/>
  <c r="R83" i="7"/>
  <c r="AU70" i="1"/>
  <c r="AY23" i="1"/>
  <c r="S36" i="7" s="1"/>
  <c r="AU23" i="1"/>
  <c r="AZ66" i="1"/>
  <c r="T79" i="7" s="1"/>
  <c r="AU66" i="1"/>
  <c r="AZ44" i="1"/>
  <c r="T57" i="7" s="1"/>
  <c r="AU44" i="1"/>
  <c r="AS63" i="1"/>
  <c r="AU63" i="1"/>
  <c r="AY18" i="1"/>
  <c r="S31" i="7" s="1"/>
  <c r="AU18" i="1"/>
  <c r="AY15" i="1"/>
  <c r="S28" i="7" s="1"/>
  <c r="AU15" i="1"/>
  <c r="AS69" i="1"/>
  <c r="AS94" i="1"/>
  <c r="AU94" i="1"/>
  <c r="AZ107" i="1"/>
  <c r="T120" i="7" s="1"/>
  <c r="AU107" i="1"/>
  <c r="AS82" i="1"/>
  <c r="AU82" i="1"/>
  <c r="AY120" i="1"/>
  <c r="S133" i="7" s="1"/>
  <c r="AS68" i="1"/>
  <c r="R122" i="7"/>
  <c r="AU109" i="1"/>
  <c r="AZ68" i="1"/>
  <c r="T81" i="7" s="1"/>
  <c r="AY52" i="1"/>
  <c r="S65" i="7" s="1"/>
  <c r="AU52" i="1"/>
  <c r="AZ29" i="1"/>
  <c r="T42" i="7" s="1"/>
  <c r="AY71" i="1"/>
  <c r="S84" i="7" s="1"/>
  <c r="AU71" i="1"/>
  <c r="AY28" i="1"/>
  <c r="S41" i="7" s="1"/>
  <c r="AU28" i="1"/>
  <c r="R112" i="7"/>
  <c r="AU99" i="1"/>
  <c r="AZ90" i="1"/>
  <c r="T103" i="7" s="1"/>
  <c r="AY90" i="1"/>
  <c r="S103" i="7" s="1"/>
  <c r="AY91" i="1"/>
  <c r="S104" i="7" s="1"/>
  <c r="AU91" i="1"/>
  <c r="AZ102" i="1"/>
  <c r="T115" i="7" s="1"/>
  <c r="AU102" i="1"/>
  <c r="AS49" i="1"/>
  <c r="AU49" i="1"/>
  <c r="BA108" i="1"/>
  <c r="U121" i="7" s="1"/>
  <c r="AS55" i="1"/>
  <c r="AU55" i="1"/>
  <c r="AY35" i="1"/>
  <c r="S48" i="7" s="1"/>
  <c r="AU35" i="1"/>
  <c r="BA110" i="1"/>
  <c r="U123" i="7" s="1"/>
  <c r="AZ57" i="1"/>
  <c r="T70" i="7" s="1"/>
  <c r="AY98" i="1"/>
  <c r="S111" i="7" s="1"/>
  <c r="AY79" i="1"/>
  <c r="S92" i="7" s="1"/>
  <c r="AZ53" i="1"/>
  <c r="T66" i="7" s="1"/>
  <c r="BA56" i="1"/>
  <c r="U69" i="7" s="1"/>
  <c r="AZ56" i="1"/>
  <c r="T69" i="7" s="1"/>
  <c r="AS90" i="1"/>
  <c r="AZ60" i="1"/>
  <c r="T73" i="7" s="1"/>
  <c r="AY12" i="1"/>
  <c r="S25" i="7" s="1"/>
  <c r="AZ24" i="1"/>
  <c r="T37" i="7" s="1"/>
  <c r="AS120" i="1"/>
  <c r="AY73" i="1"/>
  <c r="S86" i="7" s="1"/>
  <c r="AS74" i="1"/>
  <c r="BA74" i="1"/>
  <c r="U87" i="7" s="1"/>
  <c r="AY110" i="1"/>
  <c r="S123" i="7" s="1"/>
  <c r="AZ14" i="1"/>
  <c r="T27" i="7" s="1"/>
  <c r="AZ100" i="1"/>
  <c r="T113" i="7" s="1"/>
  <c r="AZ98" i="1"/>
  <c r="T111" i="7" s="1"/>
  <c r="AY67" i="1"/>
  <c r="S80" i="7" s="1"/>
  <c r="AY124" i="1"/>
  <c r="S137" i="7" s="1"/>
  <c r="AY46" i="1"/>
  <c r="S59" i="7" s="1"/>
  <c r="AY39" i="1"/>
  <c r="S52" i="7" s="1"/>
  <c r="AY56" i="1"/>
  <c r="S69" i="7" s="1"/>
  <c r="BA60" i="1"/>
  <c r="U73" i="7" s="1"/>
  <c r="AZ12" i="1"/>
  <c r="T25" i="7" s="1"/>
  <c r="AY24" i="1"/>
  <c r="S37" i="7" s="1"/>
  <c r="AS108" i="1"/>
  <c r="AS34" i="1"/>
  <c r="AY68" i="1"/>
  <c r="S81" i="7" s="1"/>
  <c r="AZ33" i="1"/>
  <c r="T46" i="7" s="1"/>
  <c r="AS73" i="1"/>
  <c r="BA24" i="1"/>
  <c r="U37" i="7" s="1"/>
  <c r="AZ38" i="1"/>
  <c r="T51" i="7" s="1"/>
  <c r="AU38" i="1"/>
  <c r="AS101" i="1"/>
  <c r="AU101" i="1"/>
  <c r="AZ11" i="1"/>
  <c r="T24" i="7" s="1"/>
  <c r="AU11" i="1"/>
  <c r="AZ54" i="1"/>
  <c r="T67" i="7" s="1"/>
  <c r="AU54" i="1"/>
  <c r="AZ22" i="1"/>
  <c r="T35" i="7" s="1"/>
  <c r="AU22" i="1"/>
  <c r="AZ51" i="1"/>
  <c r="T64" i="7" s="1"/>
  <c r="AU51" i="1"/>
  <c r="BF103" i="1"/>
  <c r="Z116" i="7" s="1"/>
  <c r="R55" i="7"/>
  <c r="BA103" i="1"/>
  <c r="U116" i="7" s="1"/>
  <c r="BA42" i="1"/>
  <c r="U55" i="7" s="1"/>
  <c r="AS18" i="1"/>
  <c r="AZ26" i="1"/>
  <c r="T39" i="7" s="1"/>
  <c r="R31" i="7"/>
  <c r="BA18" i="1"/>
  <c r="U31" i="7" s="1"/>
  <c r="BA125" i="1"/>
  <c r="U138" i="7" s="1"/>
  <c r="R28" i="7"/>
  <c r="BA25" i="1"/>
  <c r="U38" i="7" s="1"/>
  <c r="AS15" i="1"/>
  <c r="BA26" i="1"/>
  <c r="U39" i="7" s="1"/>
  <c r="AY26" i="1"/>
  <c r="S39" i="7" s="1"/>
  <c r="AS125" i="1"/>
  <c r="BA38" i="1"/>
  <c r="U51" i="7" s="1"/>
  <c r="BA55" i="1"/>
  <c r="U68" i="7" s="1"/>
  <c r="BA51" i="1"/>
  <c r="U64" i="7" s="1"/>
  <c r="AY118" i="1"/>
  <c r="S131" i="7" s="1"/>
  <c r="AS118" i="1"/>
  <c r="AZ99" i="1"/>
  <c r="T112" i="7" s="1"/>
  <c r="AS51" i="1"/>
  <c r="AS42" i="1"/>
  <c r="AY42" i="1"/>
  <c r="S55" i="7" s="1"/>
  <c r="BA63" i="1"/>
  <c r="U76" i="7" s="1"/>
  <c r="AY54" i="1"/>
  <c r="S67" i="7" s="1"/>
  <c r="BA116" i="1"/>
  <c r="U129" i="7" s="1"/>
  <c r="AS61" i="1"/>
  <c r="BA15" i="1"/>
  <c r="U28" i="7" s="1"/>
  <c r="AS45" i="1"/>
  <c r="R38" i="7"/>
  <c r="R109" i="7"/>
  <c r="AY25" i="1"/>
  <c r="S38" i="7" s="1"/>
  <c r="BA96" i="1"/>
  <c r="U109" i="7" s="1"/>
  <c r="R58" i="7"/>
  <c r="AS25" i="1"/>
  <c r="AS96" i="1"/>
  <c r="R124" i="7"/>
  <c r="AS84" i="1"/>
  <c r="AZ45" i="1"/>
  <c r="T58" i="7" s="1"/>
  <c r="AZ84" i="1"/>
  <c r="T97" i="7" s="1"/>
  <c r="AZ15" i="1"/>
  <c r="T28" i="7" s="1"/>
  <c r="AY84" i="1"/>
  <c r="S97" i="7" s="1"/>
  <c r="AY116" i="1"/>
  <c r="S129" i="7" s="1"/>
  <c r="R129" i="7"/>
  <c r="R84" i="7"/>
  <c r="AS59" i="1"/>
  <c r="AY99" i="1"/>
  <c r="S112" i="7" s="1"/>
  <c r="BA44" i="1"/>
  <c r="U57" i="7" s="1"/>
  <c r="AS106" i="1"/>
  <c r="AY58" i="1"/>
  <c r="S71" i="7" s="1"/>
  <c r="BA83" i="1"/>
  <c r="U96" i="7" s="1"/>
  <c r="AY97" i="1"/>
  <c r="S110" i="7" s="1"/>
  <c r="AS123" i="1"/>
  <c r="AY61" i="1"/>
  <c r="S74" i="7" s="1"/>
  <c r="AS97" i="1"/>
  <c r="R68" i="7"/>
  <c r="BA49" i="1"/>
  <c r="U62" i="7" s="1"/>
  <c r="AS44" i="1"/>
  <c r="AY37" i="1"/>
  <c r="S50" i="7" s="1"/>
  <c r="R74" i="7"/>
  <c r="AY111" i="1"/>
  <c r="S124" i="7" s="1"/>
  <c r="AZ35" i="1"/>
  <c r="T48" i="7" s="1"/>
  <c r="R64" i="7"/>
  <c r="AY114" i="1"/>
  <c r="S127" i="7" s="1"/>
  <c r="AY113" i="1"/>
  <c r="S126" i="7" s="1"/>
  <c r="AY106" i="1"/>
  <c r="S119" i="7" s="1"/>
  <c r="AZ71" i="1"/>
  <c r="T84" i="7" s="1"/>
  <c r="R72" i="7"/>
  <c r="BA85" i="1"/>
  <c r="U98" i="7" s="1"/>
  <c r="BA43" i="1"/>
  <c r="U56" i="7" s="1"/>
  <c r="AY44" i="1"/>
  <c r="S57" i="7" s="1"/>
  <c r="BA41" i="1"/>
  <c r="U54" i="7" s="1"/>
  <c r="AS99" i="1"/>
  <c r="AY64" i="1"/>
  <c r="S77" i="7" s="1"/>
  <c r="AS85" i="1"/>
  <c r="BA61" i="1"/>
  <c r="U74" i="7" s="1"/>
  <c r="BA114" i="1"/>
  <c r="U127" i="7" s="1"/>
  <c r="R127" i="7"/>
  <c r="BA50" i="1"/>
  <c r="U63" i="7" s="1"/>
  <c r="BA99" i="1"/>
  <c r="U112" i="7" s="1"/>
  <c r="AS113" i="1"/>
  <c r="AS121" i="1"/>
  <c r="AS77" i="1"/>
  <c r="AY11" i="1"/>
  <c r="S24" i="7" s="1"/>
  <c r="AY85" i="1"/>
  <c r="S98" i="7" s="1"/>
  <c r="BA28" i="1"/>
  <c r="U41" i="7" s="1"/>
  <c r="AZ40" i="1"/>
  <c r="T53" i="7" s="1"/>
  <c r="BF75" i="1"/>
  <c r="Z88" i="7" s="1"/>
  <c r="R41" i="7"/>
  <c r="BF50" i="1"/>
  <c r="Z63" i="7" s="1"/>
  <c r="BA71" i="1"/>
  <c r="U84" i="7" s="1"/>
  <c r="BA35" i="1"/>
  <c r="U48" i="7" s="1"/>
  <c r="BA40" i="1"/>
  <c r="U53" i="7" s="1"/>
  <c r="Y49" i="7"/>
  <c r="AS52" i="1"/>
  <c r="BA126" i="1"/>
  <c r="U139" i="7" s="1"/>
  <c r="AS111" i="1"/>
  <c r="BA52" i="1"/>
  <c r="U65" i="7" s="1"/>
  <c r="AY101" i="1"/>
  <c r="S114" i="7" s="1"/>
  <c r="AS71" i="1"/>
  <c r="AS40" i="1"/>
  <c r="BA77" i="1"/>
  <c r="U90" i="7" s="1"/>
  <c r="AS126" i="1"/>
  <c r="AZ10" i="1"/>
  <c r="T23" i="7" s="1"/>
  <c r="AY51" i="1"/>
  <c r="S64" i="7" s="1"/>
  <c r="AY77" i="1"/>
  <c r="S90" i="7" s="1"/>
  <c r="AZ52" i="1"/>
  <c r="T65" i="7" s="1"/>
  <c r="R65" i="7"/>
  <c r="AS64" i="1"/>
  <c r="AS28" i="1"/>
  <c r="AS114" i="1"/>
  <c r="AY76" i="1"/>
  <c r="S89" i="7" s="1"/>
  <c r="AS11" i="1"/>
  <c r="R136" i="7"/>
  <c r="R76" i="7"/>
  <c r="AZ97" i="1"/>
  <c r="T110" i="7" s="1"/>
  <c r="AY66" i="1"/>
  <c r="S79" i="7" s="1"/>
  <c r="BA21" i="1"/>
  <c r="U34" i="7" s="1"/>
  <c r="AS70" i="1"/>
  <c r="AY70" i="1"/>
  <c r="S83" i="7" s="1"/>
  <c r="BA16" i="1"/>
  <c r="U29" i="7" s="1"/>
  <c r="BA47" i="1"/>
  <c r="U60" i="7" s="1"/>
  <c r="AZ23" i="1"/>
  <c r="T36" i="7" s="1"/>
  <c r="BA122" i="1"/>
  <c r="U135" i="7" s="1"/>
  <c r="BA20" i="1"/>
  <c r="U33" i="7" s="1"/>
  <c r="BA45" i="1"/>
  <c r="U58" i="7" s="1"/>
  <c r="BA70" i="1"/>
  <c r="U83" i="7" s="1"/>
  <c r="AY40" i="1"/>
  <c r="S53" i="7" s="1"/>
  <c r="AY96" i="1"/>
  <c r="S109" i="7" s="1"/>
  <c r="AZ28" i="1"/>
  <c r="T41" i="7" s="1"/>
  <c r="BA23" i="1"/>
  <c r="U36" i="7" s="1"/>
  <c r="BF28" i="1"/>
  <c r="Z41" i="7" s="1"/>
  <c r="AS37" i="1"/>
  <c r="AY75" i="1"/>
  <c r="S88" i="7" s="1"/>
  <c r="AS35" i="1"/>
  <c r="AY107" i="1"/>
  <c r="S120" i="7" s="1"/>
  <c r="AS91" i="1"/>
  <c r="BA91" i="1"/>
  <c r="U104" i="7" s="1"/>
  <c r="R56" i="7"/>
  <c r="BA95" i="1"/>
  <c r="U108" i="7" s="1"/>
  <c r="AS109" i="1"/>
  <c r="AS54" i="1"/>
  <c r="AY38" i="1"/>
  <c r="S51" i="7" s="1"/>
  <c r="AY10" i="1"/>
  <c r="S23" i="7" s="1"/>
  <c r="R117" i="7"/>
  <c r="AZ95" i="1"/>
  <c r="T108" i="7" s="1"/>
  <c r="AZ101" i="1"/>
  <c r="T114" i="7" s="1"/>
  <c r="BF118" i="1"/>
  <c r="Z131" i="7" s="1"/>
  <c r="AZ43" i="1"/>
  <c r="T56" i="7" s="1"/>
  <c r="AZ64" i="1"/>
  <c r="T77" i="7" s="1"/>
  <c r="AZ70" i="1"/>
  <c r="T83" i="7" s="1"/>
  <c r="R108" i="7"/>
  <c r="R36" i="7"/>
  <c r="R23" i="7"/>
  <c r="R79" i="7"/>
  <c r="AZ109" i="1"/>
  <c r="T122" i="7" s="1"/>
  <c r="R57" i="7"/>
  <c r="AZ77" i="1"/>
  <c r="T90" i="7" s="1"/>
  <c r="AZ63" i="1"/>
  <c r="T76" i="7" s="1"/>
  <c r="AS78" i="1"/>
  <c r="R89" i="7"/>
  <c r="R126" i="7"/>
  <c r="R51" i="7"/>
  <c r="R114" i="7"/>
  <c r="R96" i="7"/>
  <c r="R24" i="7"/>
  <c r="AZ113" i="1"/>
  <c r="T126" i="7" s="1"/>
  <c r="R67" i="7"/>
  <c r="R110" i="7"/>
  <c r="AY22" i="1"/>
  <c r="S35" i="7" s="1"/>
  <c r="AY123" i="1"/>
  <c r="S136" i="7" s="1"/>
  <c r="BA22" i="1"/>
  <c r="U35" i="7" s="1"/>
  <c r="R104" i="7"/>
  <c r="BA82" i="1"/>
  <c r="U95" i="7" s="1"/>
  <c r="R95" i="7"/>
  <c r="AZ91" i="1"/>
  <c r="T104" i="7" s="1"/>
  <c r="AY16" i="1"/>
  <c r="S29" i="7" s="1"/>
  <c r="R60" i="7"/>
  <c r="AZ94" i="1"/>
  <c r="T107" i="7" s="1"/>
  <c r="AZ65" i="1"/>
  <c r="T78" i="7" s="1"/>
  <c r="AY49" i="1"/>
  <c r="S62" i="7" s="1"/>
  <c r="AZ104" i="1"/>
  <c r="T117" i="7" s="1"/>
  <c r="BA104" i="1"/>
  <c r="U117" i="7" s="1"/>
  <c r="BA94" i="1"/>
  <c r="U107" i="7" s="1"/>
  <c r="AS16" i="1"/>
  <c r="R35" i="7"/>
  <c r="BA107" i="1"/>
  <c r="U120" i="7" s="1"/>
  <c r="AZ121" i="1"/>
  <c r="T134" i="7" s="1"/>
  <c r="AS47" i="1"/>
  <c r="BA78" i="1"/>
  <c r="U91" i="7" s="1"/>
  <c r="BA121" i="1"/>
  <c r="U134" i="7" s="1"/>
  <c r="AS38" i="1"/>
  <c r="AS107" i="1"/>
  <c r="AY109" i="1"/>
  <c r="S122" i="7" s="1"/>
  <c r="AS22" i="1"/>
  <c r="R50" i="7"/>
  <c r="AY104" i="1"/>
  <c r="S117" i="7" s="1"/>
  <c r="R100" i="7"/>
  <c r="BA11" i="1"/>
  <c r="U24" i="7" s="1"/>
  <c r="AY65" i="1"/>
  <c r="S78" i="7" s="1"/>
  <c r="AY21" i="1"/>
  <c r="S34" i="7" s="1"/>
  <c r="R132" i="7"/>
  <c r="R115" i="7"/>
  <c r="AZ87" i="1"/>
  <c r="T100" i="7" s="1"/>
  <c r="AS89" i="1"/>
  <c r="R62" i="7"/>
  <c r="AY89" i="1"/>
  <c r="S102" i="7" s="1"/>
  <c r="AS87" i="1"/>
  <c r="AZ21" i="1"/>
  <c r="T34" i="7" s="1"/>
  <c r="AZ58" i="1"/>
  <c r="T71" i="7" s="1"/>
  <c r="BA65" i="1"/>
  <c r="U78" i="7" s="1"/>
  <c r="BA109" i="1"/>
  <c r="U122" i="7" s="1"/>
  <c r="AZ89" i="1"/>
  <c r="T102" i="7" s="1"/>
  <c r="AY102" i="1"/>
  <c r="S115" i="7" s="1"/>
  <c r="AY47" i="1"/>
  <c r="S60" i="7" s="1"/>
  <c r="AZ16" i="1"/>
  <c r="T29" i="7" s="1"/>
  <c r="AY121" i="1"/>
  <c r="S134" i="7" s="1"/>
  <c r="AS65" i="1"/>
  <c r="AZ78" i="1"/>
  <c r="T91" i="7" s="1"/>
  <c r="AZ55" i="1"/>
  <c r="T68" i="7" s="1"/>
  <c r="AZ76" i="1"/>
  <c r="T89" i="7" s="1"/>
  <c r="AZ106" i="1"/>
  <c r="T119" i="7" s="1"/>
  <c r="R120" i="7"/>
  <c r="R48" i="7"/>
  <c r="AY82" i="1"/>
  <c r="S95" i="7" s="1"/>
  <c r="R91" i="7"/>
  <c r="AZ37" i="1"/>
  <c r="T50" i="7" s="1"/>
  <c r="AY55" i="1"/>
  <c r="S68" i="7" s="1"/>
  <c r="AZ47" i="1"/>
  <c r="T60" i="7" s="1"/>
  <c r="AZ119" i="1"/>
  <c r="T132" i="7" s="1"/>
  <c r="AS119" i="1"/>
  <c r="R29" i="7"/>
  <c r="BA66" i="1"/>
  <c r="U79" i="7" s="1"/>
  <c r="BA119" i="1"/>
  <c r="U132" i="7" s="1"/>
  <c r="BA102" i="1"/>
  <c r="U115" i="7" s="1"/>
  <c r="AS95" i="1"/>
  <c r="AS102" i="1"/>
  <c r="BA88" i="1"/>
  <c r="U101" i="7" s="1"/>
  <c r="AZ49" i="1"/>
  <c r="T62" i="7" s="1"/>
  <c r="AY43" i="1"/>
  <c r="S56" i="7" s="1"/>
  <c r="AS75" i="1"/>
  <c r="R34" i="7"/>
  <c r="AZ82" i="1"/>
  <c r="T95" i="7" s="1"/>
  <c r="AS83" i="1"/>
  <c r="BA76" i="1"/>
  <c r="U89" i="7" s="1"/>
  <c r="BA89" i="1"/>
  <c r="U102" i="7" s="1"/>
  <c r="BA75" i="1"/>
  <c r="U88" i="7" s="1"/>
  <c r="AY94" i="1"/>
  <c r="S107" i="7" s="1"/>
  <c r="R107" i="7"/>
  <c r="R139" i="7"/>
  <c r="R131" i="7"/>
  <c r="AZ75" i="1"/>
  <c r="T88" i="7" s="1"/>
  <c r="R39" i="7"/>
  <c r="AZ126" i="1"/>
  <c r="T139" i="7" s="1"/>
  <c r="AZ18" i="1"/>
  <c r="T31" i="7" s="1"/>
  <c r="R98" i="7"/>
  <c r="R138" i="7"/>
  <c r="AZ111" i="1"/>
  <c r="T124" i="7" s="1"/>
  <c r="BF59" i="1"/>
  <c r="Z72" i="7" s="1"/>
  <c r="AZ83" i="1"/>
  <c r="T96" i="7" s="1"/>
  <c r="AY125" i="1"/>
  <c r="S138" i="7" s="1"/>
  <c r="AS66" i="1"/>
  <c r="AS23" i="1"/>
  <c r="AS58" i="1"/>
  <c r="AS10" i="1"/>
  <c r="AY63" i="1"/>
  <c r="S76" i="7" s="1"/>
  <c r="R71" i="7"/>
  <c r="BA29" i="1"/>
  <c r="U42" i="7" s="1"/>
  <c r="AS116" i="1"/>
  <c r="AZ59" i="1"/>
  <c r="T72" i="7" s="1"/>
  <c r="BF16" i="1"/>
  <c r="Z29" i="7" s="1"/>
  <c r="BA59" i="1"/>
  <c r="U72" i="7" s="1"/>
  <c r="BA118" i="1"/>
  <c r="U131" i="7" s="1"/>
  <c r="BF87" i="1"/>
  <c r="Z100" i="7" s="1"/>
  <c r="BA101" i="1"/>
  <c r="U114" i="7" s="1"/>
  <c r="BA84" i="1"/>
  <c r="U97" i="7" s="1"/>
  <c r="Y42" i="7"/>
  <c r="BA64" i="1"/>
  <c r="U77" i="7" s="1"/>
  <c r="BF47" i="1"/>
  <c r="Z60" i="7" s="1"/>
  <c r="BF72" i="1"/>
  <c r="Z85" i="7" s="1"/>
  <c r="BF122" i="1"/>
  <c r="Z135" i="7" s="1"/>
  <c r="BA72" i="1"/>
  <c r="U85" i="7" s="1"/>
  <c r="BA106" i="1"/>
  <c r="U119" i="7" s="1"/>
  <c r="BF84" i="1"/>
  <c r="Z97" i="7" s="1"/>
  <c r="BF64" i="1"/>
  <c r="Z77" i="7" s="1"/>
  <c r="BF41" i="1"/>
  <c r="Z54" i="7" s="1"/>
  <c r="BA54" i="1"/>
  <c r="U67" i="7" s="1"/>
  <c r="Y67" i="7"/>
  <c r="BA36" i="1"/>
  <c r="U49" i="7" s="1"/>
  <c r="BF88" i="1"/>
  <c r="Z101" i="7" s="1"/>
  <c r="BF109" i="1"/>
  <c r="Z122" i="7" s="1"/>
  <c r="BF20" i="1"/>
  <c r="Z33" i="7" s="1"/>
  <c r="BA92" i="1"/>
  <c r="U105" i="7" s="1"/>
  <c r="BA87" i="1"/>
  <c r="U100" i="7" s="1"/>
  <c r="BF89" i="1"/>
  <c r="Z102" i="7" s="1"/>
  <c r="BF101" i="1"/>
  <c r="Z114" i="7" s="1"/>
  <c r="BF106" i="1"/>
  <c r="Z119" i="7" s="1"/>
  <c r="BF80" i="1"/>
  <c r="Z93" i="7" s="1"/>
  <c r="BA120" i="1"/>
  <c r="U133" i="7" s="1"/>
  <c r="Y83" i="7"/>
  <c r="BF70" i="1"/>
  <c r="Z83" i="7" s="1"/>
  <c r="BF120" i="1"/>
  <c r="Z133" i="7" s="1"/>
  <c r="BF92" i="1"/>
  <c r="Z105" i="7" s="1"/>
  <c r="BA62" i="1"/>
  <c r="U75" i="7" s="1"/>
  <c r="BA123" i="1"/>
  <c r="U136" i="7" s="1"/>
  <c r="BA80" i="1"/>
  <c r="U93" i="7" s="1"/>
  <c r="BF123" i="1"/>
  <c r="Z136" i="7" s="1"/>
  <c r="BF62" i="1"/>
  <c r="Z75" i="7" s="1"/>
  <c r="Y44" i="7"/>
  <c r="BA31" i="1"/>
  <c r="U44" i="7" s="1"/>
  <c r="BF24" i="1"/>
  <c r="Z37" i="7" s="1"/>
  <c r="Y37" i="7"/>
  <c r="Y74" i="7"/>
  <c r="BF61" i="1"/>
  <c r="Z74" i="7" s="1"/>
  <c r="BF40" i="1"/>
  <c r="Z53" i="7" s="1"/>
  <c r="Y53" i="7"/>
  <c r="BF23" i="1"/>
  <c r="Z36" i="7" s="1"/>
  <c r="Y36" i="7"/>
  <c r="Y57" i="7"/>
  <c r="BF44" i="1"/>
  <c r="Z57" i="7" s="1"/>
  <c r="Y30" i="7"/>
  <c r="BF17" i="1"/>
  <c r="Z30" i="7" s="1"/>
  <c r="Y48" i="7"/>
  <c r="BF35" i="1"/>
  <c r="Z48" i="7" s="1"/>
  <c r="BF13" i="1"/>
  <c r="Z26" i="7" s="1"/>
  <c r="Y26" i="7"/>
  <c r="R85" i="7"/>
  <c r="R94" i="7"/>
  <c r="R113" i="7"/>
  <c r="R101" i="7"/>
  <c r="R87" i="7"/>
  <c r="R123" i="7"/>
  <c r="R125" i="7"/>
  <c r="R99" i="7"/>
  <c r="R44" i="7"/>
  <c r="R47" i="7"/>
  <c r="R130" i="7"/>
  <c r="R111" i="7"/>
  <c r="R75" i="7"/>
  <c r="R116" i="7"/>
  <c r="R80" i="7"/>
  <c r="R40" i="7"/>
  <c r="R77" i="7"/>
  <c r="R92" i="7"/>
  <c r="R66" i="7"/>
  <c r="R52" i="7"/>
  <c r="Y21" i="7"/>
  <c r="R27" i="7"/>
  <c r="R30" i="7"/>
  <c r="R37" i="7"/>
  <c r="R32" i="7"/>
  <c r="R49" i="7"/>
  <c r="R118" i="7"/>
  <c r="R140" i="7"/>
  <c r="R42" i="7"/>
  <c r="R54" i="7"/>
  <c r="R82" i="7"/>
  <c r="R137" i="7"/>
  <c r="R73" i="7"/>
  <c r="R121" i="7"/>
  <c r="R69" i="7"/>
  <c r="R128" i="7"/>
  <c r="R63" i="7"/>
  <c r="R106" i="7"/>
  <c r="R59" i="7"/>
  <c r="R135" i="7"/>
  <c r="R70" i="7"/>
  <c r="R25" i="7"/>
  <c r="R103" i="7"/>
  <c r="R133" i="7"/>
  <c r="R61" i="7"/>
  <c r="AQ8" i="1" l="1"/>
  <c r="BB13" i="1"/>
  <c r="BD13" i="1" s="1"/>
  <c r="X26" i="7" s="1"/>
  <c r="BB112" i="1"/>
  <c r="V125" i="7" s="1"/>
  <c r="BB105" i="1"/>
  <c r="V118" i="7" s="1"/>
  <c r="BB127" i="1"/>
  <c r="V140" i="7" s="1"/>
  <c r="BB86" i="1"/>
  <c r="V99" i="7" s="1"/>
  <c r="BB27" i="1"/>
  <c r="BD27" i="1" s="1"/>
  <c r="X40" i="7" s="1"/>
  <c r="BB117" i="1"/>
  <c r="V130" i="7" s="1"/>
  <c r="BB17" i="1"/>
  <c r="V30" i="7" s="1"/>
  <c r="BB30" i="1"/>
  <c r="V43" i="7" s="1"/>
  <c r="BB57" i="1"/>
  <c r="V70" i="7" s="1"/>
  <c r="BB73" i="1"/>
  <c r="BD73" i="1" s="1"/>
  <c r="X86" i="7" s="1"/>
  <c r="BB39" i="1"/>
  <c r="V52" i="7" s="1"/>
  <c r="BB53" i="1"/>
  <c r="V66" i="7" s="1"/>
  <c r="BB34" i="1"/>
  <c r="BD34" i="1" s="1"/>
  <c r="X47" i="7" s="1"/>
  <c r="BB81" i="1"/>
  <c r="V94" i="7" s="1"/>
  <c r="BB19" i="1"/>
  <c r="BD19" i="1" s="1"/>
  <c r="X32" i="7" s="1"/>
  <c r="BB108" i="1"/>
  <c r="BD108" i="1" s="1"/>
  <c r="X121" i="7" s="1"/>
  <c r="BB60" i="1"/>
  <c r="V73" i="7" s="1"/>
  <c r="BB46" i="1"/>
  <c r="V59" i="7" s="1"/>
  <c r="BB98" i="1"/>
  <c r="BD98" i="1" s="1"/>
  <c r="X111" i="7" s="1"/>
  <c r="BB110" i="1"/>
  <c r="BD110" i="1" s="1"/>
  <c r="X123" i="7" s="1"/>
  <c r="BB124" i="1"/>
  <c r="BD124" i="1" s="1"/>
  <c r="X137" i="7" s="1"/>
  <c r="BB93" i="1"/>
  <c r="V106" i="7" s="1"/>
  <c r="BB69" i="1"/>
  <c r="V82" i="7" s="1"/>
  <c r="BB48" i="1"/>
  <c r="BD48" i="1" s="1"/>
  <c r="X61" i="7" s="1"/>
  <c r="BB14" i="1"/>
  <c r="V27" i="7" s="1"/>
  <c r="BB33" i="1"/>
  <c r="V46" i="7" s="1"/>
  <c r="BB32" i="1"/>
  <c r="BD32" i="1" s="1"/>
  <c r="X45" i="7" s="1"/>
  <c r="BB67" i="1"/>
  <c r="V80" i="7" s="1"/>
  <c r="BB115" i="1"/>
  <c r="V128" i="7" s="1"/>
  <c r="BB24" i="1"/>
  <c r="V37" i="7" s="1"/>
  <c r="BB68" i="1"/>
  <c r="V81" i="7" s="1"/>
  <c r="BB90" i="1"/>
  <c r="V103" i="7" s="1"/>
  <c r="BB79" i="1"/>
  <c r="V92" i="7" s="1"/>
  <c r="BB74" i="1"/>
  <c r="BD74" i="1" s="1"/>
  <c r="X87" i="7" s="1"/>
  <c r="BB12" i="1"/>
  <c r="BD12" i="1" s="1"/>
  <c r="X25" i="7" s="1"/>
  <c r="BB56" i="1"/>
  <c r="V69" i="7" s="1"/>
  <c r="BB100" i="1"/>
  <c r="V113" i="7" s="1"/>
  <c r="R22" i="7"/>
  <c r="BB103" i="1"/>
  <c r="BD103" i="1" s="1"/>
  <c r="X116" i="7" s="1"/>
  <c r="BB42" i="1"/>
  <c r="BD42" i="1" s="1"/>
  <c r="X55" i="7" s="1"/>
  <c r="BB25" i="1"/>
  <c r="BD25" i="1" s="1"/>
  <c r="X38" i="7" s="1"/>
  <c r="BB15" i="1"/>
  <c r="V28" i="7" s="1"/>
  <c r="BB116" i="1"/>
  <c r="V129" i="7" s="1"/>
  <c r="BB99" i="1"/>
  <c r="BD99" i="1" s="1"/>
  <c r="X112" i="7" s="1"/>
  <c r="BB20" i="1"/>
  <c r="BD20" i="1" s="1"/>
  <c r="X33" i="7" s="1"/>
  <c r="BB61" i="1"/>
  <c r="V74" i="7" s="1"/>
  <c r="BB18" i="1"/>
  <c r="BD18" i="1" s="1"/>
  <c r="X31" i="7" s="1"/>
  <c r="BB71" i="1"/>
  <c r="BD71" i="1" s="1"/>
  <c r="X84" i="7" s="1"/>
  <c r="BB50" i="1"/>
  <c r="V63" i="7" s="1"/>
  <c r="BB122" i="1"/>
  <c r="BD122" i="1" s="1"/>
  <c r="X135" i="7" s="1"/>
  <c r="BB41" i="1"/>
  <c r="V54" i="7" s="1"/>
  <c r="BB26" i="1"/>
  <c r="V39" i="7" s="1"/>
  <c r="BB28" i="1"/>
  <c r="BD28" i="1" s="1"/>
  <c r="X41" i="7" s="1"/>
  <c r="BB22" i="1"/>
  <c r="V35" i="7" s="1"/>
  <c r="BB51" i="1"/>
  <c r="V64" i="7" s="1"/>
  <c r="BB96" i="1"/>
  <c r="BD96" i="1" s="1"/>
  <c r="X109" i="7" s="1"/>
  <c r="BB77" i="1"/>
  <c r="V90" i="7" s="1"/>
  <c r="BB114" i="1"/>
  <c r="V127" i="7" s="1"/>
  <c r="BB97" i="1"/>
  <c r="V110" i="7" s="1"/>
  <c r="BB43" i="1"/>
  <c r="BD43" i="1" s="1"/>
  <c r="X56" i="7" s="1"/>
  <c r="BB23" i="1"/>
  <c r="V36" i="7" s="1"/>
  <c r="BB52" i="1"/>
  <c r="V65" i="7" s="1"/>
  <c r="BB44" i="1"/>
  <c r="V57" i="7" s="1"/>
  <c r="BB58" i="1"/>
  <c r="V71" i="7" s="1"/>
  <c r="BB29" i="1"/>
  <c r="BD29" i="1" s="1"/>
  <c r="X42" i="7" s="1"/>
  <c r="BB45" i="1"/>
  <c r="V58" i="7" s="1"/>
  <c r="BB38" i="1"/>
  <c r="V51" i="7" s="1"/>
  <c r="BB66" i="1"/>
  <c r="V79" i="7" s="1"/>
  <c r="BB95" i="1"/>
  <c r="BD95" i="1" s="1"/>
  <c r="X108" i="7" s="1"/>
  <c r="BB91" i="1"/>
  <c r="BD91" i="1" s="1"/>
  <c r="X104" i="7" s="1"/>
  <c r="BB16" i="1"/>
  <c r="BD16" i="1" s="1"/>
  <c r="X29" i="7" s="1"/>
  <c r="BB40" i="1"/>
  <c r="V53" i="7" s="1"/>
  <c r="BB35" i="1"/>
  <c r="BD35" i="1" s="1"/>
  <c r="X48" i="7" s="1"/>
  <c r="BB11" i="1"/>
  <c r="V24" i="7" s="1"/>
  <c r="BB76" i="1"/>
  <c r="BD76" i="1" s="1"/>
  <c r="X89" i="7" s="1"/>
  <c r="BB104" i="1"/>
  <c r="BD104" i="1" s="1"/>
  <c r="X117" i="7" s="1"/>
  <c r="BB85" i="1"/>
  <c r="V98" i="7" s="1"/>
  <c r="BB47" i="1"/>
  <c r="V60" i="7" s="1"/>
  <c r="BB94" i="1"/>
  <c r="BD94" i="1" s="1"/>
  <c r="X107" i="7" s="1"/>
  <c r="BB126" i="1"/>
  <c r="BD126" i="1" s="1"/>
  <c r="X139" i="7" s="1"/>
  <c r="BB113" i="1"/>
  <c r="BD113" i="1" s="1"/>
  <c r="X126" i="7" s="1"/>
  <c r="BB125" i="1"/>
  <c r="BD125" i="1" s="1"/>
  <c r="X138" i="7" s="1"/>
  <c r="BB119" i="1"/>
  <c r="V132" i="7" s="1"/>
  <c r="BB21" i="1"/>
  <c r="V34" i="7" s="1"/>
  <c r="BB107" i="1"/>
  <c r="V120" i="7" s="1"/>
  <c r="BB75" i="1"/>
  <c r="V88" i="7" s="1"/>
  <c r="BB49" i="1"/>
  <c r="V62" i="7" s="1"/>
  <c r="BB82" i="1"/>
  <c r="V95" i="7" s="1"/>
  <c r="BB109" i="1"/>
  <c r="BD109" i="1" s="1"/>
  <c r="X122" i="7" s="1"/>
  <c r="BB70" i="1"/>
  <c r="V83" i="7" s="1"/>
  <c r="BB65" i="1"/>
  <c r="V78" i="7" s="1"/>
  <c r="BB83" i="1"/>
  <c r="V96" i="7" s="1"/>
  <c r="BB64" i="1"/>
  <c r="V77" i="7" s="1"/>
  <c r="BB37" i="1"/>
  <c r="V50" i="7" s="1"/>
  <c r="BB111" i="1"/>
  <c r="BD111" i="1" s="1"/>
  <c r="X124" i="7" s="1"/>
  <c r="BB59" i="1"/>
  <c r="V72" i="7" s="1"/>
  <c r="BB102" i="1"/>
  <c r="V115" i="7" s="1"/>
  <c r="BB10" i="1"/>
  <c r="V23" i="7" s="1"/>
  <c r="BB78" i="1"/>
  <c r="V91" i="7" s="1"/>
  <c r="BB63" i="1"/>
  <c r="V76" i="7" s="1"/>
  <c r="BB89" i="1"/>
  <c r="V102" i="7" s="1"/>
  <c r="BB121" i="1"/>
  <c r="BD121" i="1" s="1"/>
  <c r="X134" i="7" s="1"/>
  <c r="BB55" i="1"/>
  <c r="BD55" i="1" s="1"/>
  <c r="X68" i="7" s="1"/>
  <c r="BB88" i="1"/>
  <c r="V101" i="7" s="1"/>
  <c r="BB84" i="1"/>
  <c r="V97" i="7" s="1"/>
  <c r="BB118" i="1"/>
  <c r="BD118" i="1" s="1"/>
  <c r="X131" i="7" s="1"/>
  <c r="BB87" i="1"/>
  <c r="BD87" i="1" s="1"/>
  <c r="X100" i="7" s="1"/>
  <c r="BB101" i="1"/>
  <c r="V114" i="7" s="1"/>
  <c r="BB92" i="1"/>
  <c r="V105" i="7" s="1"/>
  <c r="BB72" i="1"/>
  <c r="V85" i="7" s="1"/>
  <c r="BB106" i="1"/>
  <c r="BD106" i="1" s="1"/>
  <c r="X119" i="7" s="1"/>
  <c r="BB54" i="1"/>
  <c r="V67" i="7" s="1"/>
  <c r="BB36" i="1"/>
  <c r="V49" i="7" s="1"/>
  <c r="BB120" i="1"/>
  <c r="V133" i="7" s="1"/>
  <c r="BB80" i="1"/>
  <c r="V93" i="7" s="1"/>
  <c r="BB123" i="1"/>
  <c r="BD123" i="1" s="1"/>
  <c r="X136" i="7" s="1"/>
  <c r="BB62" i="1"/>
  <c r="V75" i="7" s="1"/>
  <c r="BB31" i="1"/>
  <c r="V44" i="7" s="1"/>
  <c r="AU8" i="1" l="1"/>
  <c r="AS8" i="1"/>
  <c r="V26" i="7"/>
  <c r="BD127" i="1"/>
  <c r="X140" i="7" s="1"/>
  <c r="BD112" i="1"/>
  <c r="X125" i="7" s="1"/>
  <c r="BD105" i="1"/>
  <c r="X118" i="7" s="1"/>
  <c r="V86" i="7"/>
  <c r="V40" i="7"/>
  <c r="BD86" i="1"/>
  <c r="X99" i="7" s="1"/>
  <c r="V121" i="7"/>
  <c r="BD117" i="1"/>
  <c r="X130" i="7" s="1"/>
  <c r="V47" i="7"/>
  <c r="BD17" i="1"/>
  <c r="X30" i="7" s="1"/>
  <c r="BD39" i="1"/>
  <c r="X52" i="7" s="1"/>
  <c r="BD30" i="1"/>
  <c r="X43" i="7" s="1"/>
  <c r="BD57" i="1"/>
  <c r="X70" i="7" s="1"/>
  <c r="BD60" i="1"/>
  <c r="X73" i="7" s="1"/>
  <c r="V32" i="7"/>
  <c r="BD46" i="1"/>
  <c r="X59" i="7" s="1"/>
  <c r="V137" i="7"/>
  <c r="BD53" i="1"/>
  <c r="X66" i="7" s="1"/>
  <c r="BD81" i="1"/>
  <c r="X94" i="7" s="1"/>
  <c r="V25" i="7"/>
  <c r="BD93" i="1"/>
  <c r="X106" i="7" s="1"/>
  <c r="V111" i="7"/>
  <c r="V61" i="7"/>
  <c r="V123" i="7"/>
  <c r="V45" i="7"/>
  <c r="BD69" i="1"/>
  <c r="X82" i="7" s="1"/>
  <c r="BD14" i="1"/>
  <c r="X27" i="7" s="1"/>
  <c r="BD115" i="1"/>
  <c r="X128" i="7" s="1"/>
  <c r="BD24" i="1"/>
  <c r="X37" i="7" s="1"/>
  <c r="BD90" i="1"/>
  <c r="X103" i="7" s="1"/>
  <c r="V87" i="7"/>
  <c r="BD67" i="1"/>
  <c r="X80" i="7" s="1"/>
  <c r="BD68" i="1"/>
  <c r="X81" i="7" s="1"/>
  <c r="BD33" i="1"/>
  <c r="X46" i="7" s="1"/>
  <c r="BD100" i="1"/>
  <c r="X113" i="7" s="1"/>
  <c r="BD79" i="1"/>
  <c r="X92" i="7" s="1"/>
  <c r="BD56" i="1"/>
  <c r="X69" i="7" s="1"/>
  <c r="V116" i="7"/>
  <c r="BD58" i="1"/>
  <c r="X71" i="7" s="1"/>
  <c r="V55" i="7"/>
  <c r="V33" i="7"/>
  <c r="V38" i="7"/>
  <c r="V112" i="7"/>
  <c r="BD15" i="1"/>
  <c r="X28" i="7" s="1"/>
  <c r="V84" i="7"/>
  <c r="V31" i="7"/>
  <c r="BD116" i="1"/>
  <c r="X129" i="7" s="1"/>
  <c r="BD50" i="1"/>
  <c r="X63" i="7" s="1"/>
  <c r="V135" i="7"/>
  <c r="BD61" i="1"/>
  <c r="X74" i="7" s="1"/>
  <c r="BD38" i="1"/>
  <c r="X51" i="7" s="1"/>
  <c r="V122" i="7"/>
  <c r="V108" i="7"/>
  <c r="V139" i="7"/>
  <c r="BD51" i="1"/>
  <c r="X64" i="7" s="1"/>
  <c r="V117" i="7"/>
  <c r="BD41" i="1"/>
  <c r="X54" i="7" s="1"/>
  <c r="BD114" i="1"/>
  <c r="X127" i="7" s="1"/>
  <c r="BD22" i="1"/>
  <c r="X35" i="7" s="1"/>
  <c r="BD89" i="1"/>
  <c r="X102" i="7" s="1"/>
  <c r="V41" i="7"/>
  <c r="BD44" i="1"/>
  <c r="X57" i="7" s="1"/>
  <c r="BD45" i="1"/>
  <c r="X58" i="7" s="1"/>
  <c r="BD26" i="1"/>
  <c r="X39" i="7" s="1"/>
  <c r="BD52" i="1"/>
  <c r="X65" i="7" s="1"/>
  <c r="BD11" i="1"/>
  <c r="X24" i="7" s="1"/>
  <c r="BD23" i="1"/>
  <c r="X36" i="7" s="1"/>
  <c r="V29" i="7"/>
  <c r="BD47" i="1"/>
  <c r="X60" i="7" s="1"/>
  <c r="V109" i="7"/>
  <c r="V56" i="7"/>
  <c r="BD97" i="1"/>
  <c r="X110" i="7" s="1"/>
  <c r="BD77" i="1"/>
  <c r="X90" i="7" s="1"/>
  <c r="V68" i="7"/>
  <c r="V42" i="7"/>
  <c r="V104" i="7"/>
  <c r="BD63" i="1"/>
  <c r="X76" i="7" s="1"/>
  <c r="V134" i="7"/>
  <c r="V126" i="7"/>
  <c r="BD66" i="1"/>
  <c r="X79" i="7" s="1"/>
  <c r="BD21" i="1"/>
  <c r="X34" i="7" s="1"/>
  <c r="V138" i="7"/>
  <c r="BD85" i="1"/>
  <c r="X98" i="7" s="1"/>
  <c r="V107" i="7"/>
  <c r="BD70" i="1"/>
  <c r="X83" i="7" s="1"/>
  <c r="BD119" i="1"/>
  <c r="X132" i="7" s="1"/>
  <c r="V89" i="7"/>
  <c r="BD40" i="1"/>
  <c r="X53" i="7" s="1"/>
  <c r="BD65" i="1"/>
  <c r="X78" i="7" s="1"/>
  <c r="V48" i="7"/>
  <c r="BD82" i="1"/>
  <c r="X95" i="7" s="1"/>
  <c r="BD49" i="1"/>
  <c r="X62" i="7" s="1"/>
  <c r="BD78" i="1"/>
  <c r="X91" i="7" s="1"/>
  <c r="BD75" i="1"/>
  <c r="X88" i="7" s="1"/>
  <c r="BD10" i="1"/>
  <c r="X23" i="7" s="1"/>
  <c r="BD83" i="1"/>
  <c r="X96" i="7" s="1"/>
  <c r="BD107" i="1"/>
  <c r="X120" i="7" s="1"/>
  <c r="BD88" i="1"/>
  <c r="X101" i="7" s="1"/>
  <c r="V124" i="7"/>
  <c r="BD64" i="1"/>
  <c r="X77" i="7" s="1"/>
  <c r="BD59" i="1"/>
  <c r="X72" i="7" s="1"/>
  <c r="BD37" i="1"/>
  <c r="X50" i="7" s="1"/>
  <c r="BD102" i="1"/>
  <c r="X115" i="7" s="1"/>
  <c r="V131" i="7"/>
  <c r="BD84" i="1"/>
  <c r="X97" i="7" s="1"/>
  <c r="BD101" i="1"/>
  <c r="X114" i="7" s="1"/>
  <c r="V100" i="7"/>
  <c r="BD72" i="1"/>
  <c r="X85" i="7" s="1"/>
  <c r="V119" i="7"/>
  <c r="BD92" i="1"/>
  <c r="X105" i="7" s="1"/>
  <c r="BD54" i="1"/>
  <c r="X67" i="7" s="1"/>
  <c r="BD120" i="1"/>
  <c r="X133" i="7" s="1"/>
  <c r="BD36" i="1"/>
  <c r="X49" i="7" s="1"/>
  <c r="BD80" i="1"/>
  <c r="X93" i="7" s="1"/>
  <c r="V136" i="7"/>
  <c r="BD62" i="1"/>
  <c r="X75" i="7" s="1"/>
  <c r="BD31" i="1"/>
  <c r="X44" i="7" s="1"/>
  <c r="R21" i="7"/>
  <c r="T21" i="7" l="1"/>
  <c r="S21" i="7" l="1"/>
  <c r="BB8" i="1"/>
  <c r="BF8" i="1" s="1"/>
  <c r="U21" i="7"/>
  <c r="BD8" i="1" l="1"/>
  <c r="X21" i="7" s="1"/>
  <c r="E12" i="7"/>
  <c r="E14" i="7" s="1"/>
  <c r="E17" i="7" s="1"/>
  <c r="V21" i="7"/>
  <c r="E11" i="7" l="1"/>
  <c r="Z21" i="7"/>
  <c r="BF9" i="1"/>
  <c r="Z22" i="7" s="1"/>
  <c r="AQ9" i="1"/>
  <c r="BA9" i="1" s="1"/>
  <c r="U22" i="7" s="1"/>
  <c r="AZ9" i="1" l="1"/>
  <c r="T22" i="7" s="1"/>
  <c r="AS9" i="1"/>
  <c r="AY9" i="1"/>
  <c r="AU9" i="1"/>
  <c r="BB9" i="1" l="1"/>
  <c r="S22" i="7"/>
  <c r="BD9" i="1" l="1"/>
  <c r="X22" i="7" s="1"/>
  <c r="V22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<sst xmlns="http://schemas.openxmlformats.org/spreadsheetml/2006/main" count="2419" uniqueCount="1326">
  <si>
    <t xml:space="preserve">No. of locations </t>
  </si>
  <si>
    <t>Risk Inputs</t>
  </si>
  <si>
    <t>Limits</t>
  </si>
  <si>
    <t>Deductibles</t>
  </si>
  <si>
    <t>Additional Coverages (Property)</t>
  </si>
  <si>
    <t>Premium (Exposure Rated)</t>
  </si>
  <si>
    <t>Property Metrics</t>
  </si>
  <si>
    <t>Final Premium</t>
  </si>
  <si>
    <t>Location</t>
  </si>
  <si>
    <t>Currency</t>
  </si>
  <si>
    <t>Address</t>
  </si>
  <si>
    <t>Province</t>
  </si>
  <si>
    <t>Occupancy</t>
  </si>
  <si>
    <t>Construction</t>
  </si>
  <si>
    <t>Building age</t>
  </si>
  <si>
    <t>Sprinklered</t>
  </si>
  <si>
    <t>Aluminium wiring</t>
  </si>
  <si>
    <t>Heritage</t>
  </si>
  <si>
    <t>Electrical panel</t>
  </si>
  <si>
    <t>Building</t>
  </si>
  <si>
    <t>Contents</t>
  </si>
  <si>
    <t>Rental Income</t>
  </si>
  <si>
    <t>General Liability</t>
  </si>
  <si>
    <t>Property</t>
  </si>
  <si>
    <t>Flood 
(Y/N)</t>
  </si>
  <si>
    <t>Earthquake (Y/N)</t>
  </si>
  <si>
    <t>Total</t>
  </si>
  <si>
    <t>TIV</t>
  </si>
  <si>
    <t>Premium Rate</t>
  </si>
  <si>
    <t>Total 
Property</t>
  </si>
  <si>
    <t>CAD</t>
  </si>
  <si>
    <t>SBU Limit</t>
  </si>
  <si>
    <t>No. of location</t>
  </si>
  <si>
    <t>Rate</t>
  </si>
  <si>
    <t>Premium</t>
  </si>
  <si>
    <t>Claims history availability</t>
  </si>
  <si>
    <t>GL</t>
  </si>
  <si>
    <t>Final Premium Summary (CAD)</t>
  </si>
  <si>
    <t>Load</t>
  </si>
  <si>
    <t>Base rate</t>
  </si>
  <si>
    <t>GL limit</t>
  </si>
  <si>
    <t>Property deductible</t>
  </si>
  <si>
    <t>GL deductible</t>
  </si>
  <si>
    <t>Flood</t>
  </si>
  <si>
    <t>Earthquake</t>
  </si>
  <si>
    <t>Sewer back up</t>
  </si>
  <si>
    <t>AP</t>
  </si>
  <si>
    <t>Rate per TIV</t>
  </si>
  <si>
    <t>Water damage deductible / Premium</t>
  </si>
  <si>
    <t>Size discount</t>
  </si>
  <si>
    <t>Residential GL premium</t>
  </si>
  <si>
    <t>Commercial GL premium</t>
  </si>
  <si>
    <t>GL Commercial Unit</t>
  </si>
  <si>
    <t>GL Limit</t>
  </si>
  <si>
    <t>Min Prem</t>
  </si>
  <si>
    <t>GL Residential Unit</t>
  </si>
  <si>
    <t>Alberta</t>
  </si>
  <si>
    <t>Agriculture - Excluding Greenhouses</t>
  </si>
  <si>
    <t>Decline</t>
  </si>
  <si>
    <t>Fire resistive</t>
  </si>
  <si>
    <t>Less than 10 years</t>
  </si>
  <si>
    <t>Y - 100%</t>
  </si>
  <si>
    <t>Y</t>
  </si>
  <si>
    <t>Circuit breaker</t>
  </si>
  <si>
    <t>British Columbia</t>
  </si>
  <si>
    <t>Masonry Non-Combustible</t>
  </si>
  <si>
    <t>Less than 20 years</t>
  </si>
  <si>
    <t>Less than 15 years</t>
  </si>
  <si>
    <t>Y - 75%</t>
  </si>
  <si>
    <t>N</t>
  </si>
  <si>
    <t>Fuse box</t>
  </si>
  <si>
    <t>Manitoba</t>
  </si>
  <si>
    <t>Non-Combustible</t>
  </si>
  <si>
    <t>Less than 25 years</t>
  </si>
  <si>
    <t>Y - 50%</t>
  </si>
  <si>
    <t>New Brunswick</t>
  </si>
  <si>
    <t>Bakery - Deep fat frying</t>
  </si>
  <si>
    <t>Joisted Masonry</t>
  </si>
  <si>
    <t>Less than 30 years</t>
  </si>
  <si>
    <t>Y - 25%</t>
  </si>
  <si>
    <t>Newfoundland</t>
  </si>
  <si>
    <t>Bakery - No frying</t>
  </si>
  <si>
    <t>Brick Veneer</t>
  </si>
  <si>
    <t>Less than 35 years</t>
  </si>
  <si>
    <t>Northern territories</t>
  </si>
  <si>
    <t>Less than 40 years</t>
  </si>
  <si>
    <t>Nova Scotia</t>
  </si>
  <si>
    <t>Less than 45 years</t>
  </si>
  <si>
    <t>Nunavet</t>
  </si>
  <si>
    <t>Less than 50 years</t>
  </si>
  <si>
    <t>Full limit</t>
  </si>
  <si>
    <t>Ontario</t>
  </si>
  <si>
    <t>Church</t>
  </si>
  <si>
    <t>Less than 75 years</t>
  </si>
  <si>
    <t>More than 45 years</t>
  </si>
  <si>
    <t>Prince Edward Island</t>
  </si>
  <si>
    <t>Coffee shop</t>
  </si>
  <si>
    <t>Less than 100 years</t>
  </si>
  <si>
    <t>Quebec</t>
  </si>
  <si>
    <t>Community centre</t>
  </si>
  <si>
    <t>Over 100 years</t>
  </si>
  <si>
    <t>Saskatchewan</t>
  </si>
  <si>
    <t>Condo Owners/Condo Associations (Excluding third party tenancies)</t>
  </si>
  <si>
    <t>Yukon</t>
  </si>
  <si>
    <t>Condo Owners/Condo Associations (Including third party tenancies)</t>
  </si>
  <si>
    <t>Convenience store</t>
  </si>
  <si>
    <t>Crematorium</t>
  </si>
  <si>
    <t>Data centre</t>
  </si>
  <si>
    <t>Doctors, Dentist. Medical clinic</t>
  </si>
  <si>
    <t>Dry Cleaner</t>
  </si>
  <si>
    <t>Golf club and/or country club</t>
  </si>
  <si>
    <t>Gym</t>
  </si>
  <si>
    <t>Hospital</t>
  </si>
  <si>
    <t>Hotel - with Restaurant</t>
  </si>
  <si>
    <t>Hotel - without Restaurant</t>
  </si>
  <si>
    <t>Jewellers</t>
  </si>
  <si>
    <t>Leisure Centre</t>
  </si>
  <si>
    <t>Library</t>
  </si>
  <si>
    <t>Manufacturing -  Non alcoholic beverages</t>
  </si>
  <si>
    <t>Manufacturing - Bottling/Canning</t>
  </si>
  <si>
    <t>Manufacturing - Brewery/Microbrewery</t>
  </si>
  <si>
    <t>Manufacturing - Brick/Clay/Concrete icluding Heat</t>
  </si>
  <si>
    <t>Manufacturing - Brick/Clay/Concrete No Heat</t>
  </si>
  <si>
    <t>Manufacturing - Cardboard/Paper/Pulp mill</t>
  </si>
  <si>
    <t xml:space="preserve">Manufacturing - Ceramics </t>
  </si>
  <si>
    <t>Manufacturing - Cosmetics/Perfumes/Cleaning product</t>
  </si>
  <si>
    <t>Manufacturing - Distillery</t>
  </si>
  <si>
    <t>Manufacturing - Electronics</t>
  </si>
  <si>
    <t>Manufacturing - Fats/Oils</t>
  </si>
  <si>
    <t>Manufacturing - Food including Deep fat frying or smoking</t>
  </si>
  <si>
    <t>Manufacturing - Food including Heat no deep fat frying</t>
  </si>
  <si>
    <t>Manufacturing - Food including No heat/no deep fat frying</t>
  </si>
  <si>
    <t xml:space="preserve">Manufacturing - Glass </t>
  </si>
  <si>
    <t xml:space="preserve">Manufacturing - Mattress &amp; bedding </t>
  </si>
  <si>
    <t>Manufacturing - Metal work including Heat</t>
  </si>
  <si>
    <t>Manufacturing - Metal work No heat</t>
  </si>
  <si>
    <t>Manufacturing - Oil based paint</t>
  </si>
  <si>
    <t>Manufacturing - Pharmaceuticals cold storage products</t>
  </si>
  <si>
    <t>Manufacturing - Pharmaceuticles Chemcial reactions</t>
  </si>
  <si>
    <t>Manufacturing - Pharmaceuticles Tablets/Mixing/Blending</t>
  </si>
  <si>
    <t>Manufacturing - Plastics Finished products</t>
  </si>
  <si>
    <t>Manufacturing - Plastics including Extrusion/Injection moulding</t>
  </si>
  <si>
    <t>Manufacturing - Rubber</t>
  </si>
  <si>
    <t>Manufacturing - Textiles/Clothing/Carpets</t>
  </si>
  <si>
    <t>Manufacturing - Water/Non-oil based paint</t>
  </si>
  <si>
    <t>Manufacturing &amp; Repair - Furniture including heat</t>
  </si>
  <si>
    <t>Manufacturing &amp; Repair - Furniture No heat</t>
  </si>
  <si>
    <t>Mills - Grain</t>
  </si>
  <si>
    <t>Mills - Sugar</t>
  </si>
  <si>
    <t>Museum/Art Gallery/Exhibition Centre</t>
  </si>
  <si>
    <t>Office</t>
  </si>
  <si>
    <t>Pharmacy</t>
  </si>
  <si>
    <t>Printing/Publishing</t>
  </si>
  <si>
    <t>R&amp;D - services labs</t>
  </si>
  <si>
    <t>Restaurant - with Frying</t>
  </si>
  <si>
    <t>Restaurant - without frying</t>
  </si>
  <si>
    <t>Retail</t>
  </si>
  <si>
    <t>Sports stadium</t>
  </si>
  <si>
    <t>Supermarket</t>
  </si>
  <si>
    <t>Theater/Cinema</t>
  </si>
  <si>
    <t>Vacant Property</t>
  </si>
  <si>
    <t>Vape Store</t>
  </si>
  <si>
    <t>Warehousing - Bulk Storage/Grain</t>
  </si>
  <si>
    <t xml:space="preserve">Warehousing - Cold Stores/Refrigerated </t>
  </si>
  <si>
    <t>Warehousing - Cosmetics/Perfumes/Cleaning Products</t>
  </si>
  <si>
    <t>Warehousing - Electronics</t>
  </si>
  <si>
    <t>Warehousing - Food</t>
  </si>
  <si>
    <t>Warehousing - Hazardous</t>
  </si>
  <si>
    <t>Warehousing - High Value items/Stock</t>
  </si>
  <si>
    <t>Warehousing - Leather</t>
  </si>
  <si>
    <t>Warehousing - Medical devices</t>
  </si>
  <si>
    <t>Warehousing - Metal/Glass/Ceramics</t>
  </si>
  <si>
    <t>Warehousing - Non-Hazardous</t>
  </si>
  <si>
    <t>Warehousing - Paints/Inks/Pigments/Adhesives</t>
  </si>
  <si>
    <t>Warehousing - Paper/Wood</t>
  </si>
  <si>
    <t>Warehousing - Pharmaceuticals</t>
  </si>
  <si>
    <t>Warehousing - Plastics/Resins</t>
  </si>
  <si>
    <t>Warehousing - Rubber</t>
  </si>
  <si>
    <t>Warehousing - Textiles</t>
  </si>
  <si>
    <t>Winery</t>
  </si>
  <si>
    <t>Woodworking - Heat</t>
  </si>
  <si>
    <t>Woodworking - No heat</t>
  </si>
  <si>
    <t>Risk inspection fee</t>
  </si>
  <si>
    <t xml:space="preserve">Total </t>
  </si>
  <si>
    <t>Total payable</t>
  </si>
  <si>
    <t>CRESTA ID</t>
  </si>
  <si>
    <t>Postal Code Stem</t>
  </si>
  <si>
    <t>Zone Name</t>
  </si>
  <si>
    <t>CAN_H2Z</t>
  </si>
  <si>
    <t>H2Z</t>
  </si>
  <si>
    <t>MONTREAL QC PDF BRIDGE 2</t>
  </si>
  <si>
    <t>E1</t>
  </si>
  <si>
    <t>East extreme</t>
  </si>
  <si>
    <t>CAN_H3A</t>
  </si>
  <si>
    <t>H3A</t>
  </si>
  <si>
    <t>MONTREAL QC PDF BRIDGE 1</t>
  </si>
  <si>
    <t>CAN_H4P</t>
  </si>
  <si>
    <t>H4P</t>
  </si>
  <si>
    <t>MONTREAL QC PDF DEPOT OUEST 2</t>
  </si>
  <si>
    <t>CAN_H4S</t>
  </si>
  <si>
    <t>H4S</t>
  </si>
  <si>
    <t>MONTREAL QC PDF DEPOT OUEST 1</t>
  </si>
  <si>
    <t>CAN_H4Y</t>
  </si>
  <si>
    <t>H4Y</t>
  </si>
  <si>
    <t>POINTE-CLAIRE QC PDF POINTE-CLAIRE</t>
  </si>
  <si>
    <t>CAN_H5B</t>
  </si>
  <si>
    <t>H5B</t>
  </si>
  <si>
    <t>MONTREAL QC SUCC PL-DESJARDINS</t>
  </si>
  <si>
    <t>CAN_H9P</t>
  </si>
  <si>
    <t>H9P</t>
  </si>
  <si>
    <t>CAN_H9S</t>
  </si>
  <si>
    <t>H9S</t>
  </si>
  <si>
    <t>CAN_H2L</t>
  </si>
  <si>
    <t>H2L</t>
  </si>
  <si>
    <t>MONTREAL QC PDF DELORIMIER</t>
  </si>
  <si>
    <t>E2</t>
  </si>
  <si>
    <t>East very high</t>
  </si>
  <si>
    <t>CAN_H2X</t>
  </si>
  <si>
    <t>H2X</t>
  </si>
  <si>
    <t>CAN_H2Y</t>
  </si>
  <si>
    <t>H2Y</t>
  </si>
  <si>
    <t>CAN_H3B</t>
  </si>
  <si>
    <t>H3B</t>
  </si>
  <si>
    <t>CAN_H3N</t>
  </si>
  <si>
    <t>H3N</t>
  </si>
  <si>
    <t>MONTREAL QC PDF YOUVILLE</t>
  </si>
  <si>
    <t>CAN_H3R</t>
  </si>
  <si>
    <t>H3R</t>
  </si>
  <si>
    <t>MONTREAL QC PDF SNOWDON 1</t>
  </si>
  <si>
    <t>CAN_H3S</t>
  </si>
  <si>
    <t>H3S</t>
  </si>
  <si>
    <t>MONTREAL QC PDF COTE-DES-NEIGES</t>
  </si>
  <si>
    <t>CAN_H3T</t>
  </si>
  <si>
    <t>H3T</t>
  </si>
  <si>
    <t>MONTREAL QC PDF SNOWDON 2</t>
  </si>
  <si>
    <t>CAN_H3W</t>
  </si>
  <si>
    <t>H3W</t>
  </si>
  <si>
    <t>CAN_H3X</t>
  </si>
  <si>
    <t>H3X</t>
  </si>
  <si>
    <t>CAN_H3Z</t>
  </si>
  <si>
    <t>H3Z</t>
  </si>
  <si>
    <t>MONTREAL QC PDF ST-HENRI</t>
  </si>
  <si>
    <t>CAN_H4A</t>
  </si>
  <si>
    <t>H4A</t>
  </si>
  <si>
    <t>MONTREAL QC PDF N.D.-D-GRACE</t>
  </si>
  <si>
    <t>CAN_H4B</t>
  </si>
  <si>
    <t>H4B</t>
  </si>
  <si>
    <t>CAN_H4L</t>
  </si>
  <si>
    <t>H4L</t>
  </si>
  <si>
    <t>CAN_H4M</t>
  </si>
  <si>
    <t>H4M</t>
  </si>
  <si>
    <t>CAN_H4T</t>
  </si>
  <si>
    <t>H4T</t>
  </si>
  <si>
    <t>CAN_H4V</t>
  </si>
  <si>
    <t>H4V</t>
  </si>
  <si>
    <t>MONTREAL QC PDF COTE-ST-LUC</t>
  </si>
  <si>
    <t>CAN_H4W</t>
  </si>
  <si>
    <t>H4W</t>
  </si>
  <si>
    <t>CAN_H4X</t>
  </si>
  <si>
    <t>H4X</t>
  </si>
  <si>
    <t>CAN_H4Z</t>
  </si>
  <si>
    <t>H4Z</t>
  </si>
  <si>
    <t>MONTREAL QC SUCC TOUR D/L BOURSE</t>
  </si>
  <si>
    <t>CAN_H5A</t>
  </si>
  <si>
    <t>H5A</t>
  </si>
  <si>
    <t>CAN_H8R</t>
  </si>
  <si>
    <t>H8R</t>
  </si>
  <si>
    <t>MONTREAL QC PDF LASALLE</t>
  </si>
  <si>
    <t>CAN_H8S</t>
  </si>
  <si>
    <t>H8S</t>
  </si>
  <si>
    <t>CAN_H9R</t>
  </si>
  <si>
    <t>H9R</t>
  </si>
  <si>
    <t>CAN_J6J</t>
  </si>
  <si>
    <t>J6J</t>
  </si>
  <si>
    <t>CHATEAUGUAY QC SUCC BUREAU-CHEF</t>
  </si>
  <si>
    <t>CAN_J6K</t>
  </si>
  <si>
    <t>J6K</t>
  </si>
  <si>
    <t>CAN_H1A</t>
  </si>
  <si>
    <t>H1A</t>
  </si>
  <si>
    <t>MONTREAL QC SUCC PT-AUX-TREMBLES</t>
  </si>
  <si>
    <t>E3</t>
  </si>
  <si>
    <t>East high</t>
  </si>
  <si>
    <t>CAN_H1G</t>
  </si>
  <si>
    <t>H1G</t>
  </si>
  <si>
    <t>MONTREAL QC PDF MTL-NORD</t>
  </si>
  <si>
    <t>CAN_H1H</t>
  </si>
  <si>
    <t>H1H</t>
  </si>
  <si>
    <t>CAN_H1J</t>
  </si>
  <si>
    <t>H1J</t>
  </si>
  <si>
    <t>MONTREAL QC PDF ANJOU</t>
  </si>
  <si>
    <t>CAN_H1T</t>
  </si>
  <si>
    <t>H1T</t>
  </si>
  <si>
    <t>MONTREAL QC PDF SAINT-LEONARD</t>
  </si>
  <si>
    <t>CAN_H1V</t>
  </si>
  <si>
    <t>H1V</t>
  </si>
  <si>
    <t>MONTREAL QC SUCC M</t>
  </si>
  <si>
    <t>CAN_H1W</t>
  </si>
  <si>
    <t>H1W</t>
  </si>
  <si>
    <t>CAN_H1Y</t>
  </si>
  <si>
    <t>H1Y</t>
  </si>
  <si>
    <t>MONTREAL QC PDF ROSEMONT</t>
  </si>
  <si>
    <t>CAN_H1Z</t>
  </si>
  <si>
    <t>H1Z</t>
  </si>
  <si>
    <t>MONTREAL QC PDF SAINT-MICHEL</t>
  </si>
  <si>
    <t>CAN_H2A</t>
  </si>
  <si>
    <t>H2A</t>
  </si>
  <si>
    <t>CAN_H2B</t>
  </si>
  <si>
    <t>H2B</t>
  </si>
  <si>
    <t>CAN_H2C</t>
  </si>
  <si>
    <t>H2C</t>
  </si>
  <si>
    <t>MONTREAL QC PDF AHUNTSIC</t>
  </si>
  <si>
    <t>CAN_H2E</t>
  </si>
  <si>
    <t>H2E</t>
  </si>
  <si>
    <t>CAN_H2G</t>
  </si>
  <si>
    <t>H2G</t>
  </si>
  <si>
    <t>CAN_H2H</t>
  </si>
  <si>
    <t>H2H</t>
  </si>
  <si>
    <t>CAN_H2J</t>
  </si>
  <si>
    <t>H2J</t>
  </si>
  <si>
    <t>CAN_H2K</t>
  </si>
  <si>
    <t>H2K</t>
  </si>
  <si>
    <t>CAN_H2M</t>
  </si>
  <si>
    <t>H2M</t>
  </si>
  <si>
    <t>CAN_H2N</t>
  </si>
  <si>
    <t>H2N</t>
  </si>
  <si>
    <t>CAN_H2P</t>
  </si>
  <si>
    <t>H2P</t>
  </si>
  <si>
    <t>CAN_H2R</t>
  </si>
  <si>
    <t>H2R</t>
  </si>
  <si>
    <t>MONTREAL QC SUCC R</t>
  </si>
  <si>
    <t>CAN_H2S</t>
  </si>
  <si>
    <t>H2S</t>
  </si>
  <si>
    <t>G9A 6E3</t>
  </si>
  <si>
    <t>H2T</t>
  </si>
  <si>
    <t>CAN_H2V</t>
  </si>
  <si>
    <t>H2V</t>
  </si>
  <si>
    <t>CAN_H2W</t>
  </si>
  <si>
    <t>H2W</t>
  </si>
  <si>
    <t>CAN_H3C</t>
  </si>
  <si>
    <t>H3C</t>
  </si>
  <si>
    <t>CAN_H3E</t>
  </si>
  <si>
    <t>H3E</t>
  </si>
  <si>
    <t>MONTREAL QC PDF ST-HENRI IDS</t>
  </si>
  <si>
    <t>CAN_H3G</t>
  </si>
  <si>
    <t>H3G</t>
  </si>
  <si>
    <t>CAN_H3H</t>
  </si>
  <si>
    <t>H3H</t>
  </si>
  <si>
    <t>CAN_H3J</t>
  </si>
  <si>
    <t>H3J</t>
  </si>
  <si>
    <t>CAN_H3K</t>
  </si>
  <si>
    <t>H3K</t>
  </si>
  <si>
    <t>CAN_H3L</t>
  </si>
  <si>
    <t>H3L</t>
  </si>
  <si>
    <t>CAN_H3M</t>
  </si>
  <si>
    <t>H3M</t>
  </si>
  <si>
    <t>CAN_H3P</t>
  </si>
  <si>
    <t>H3P</t>
  </si>
  <si>
    <t>CAN_H3V</t>
  </si>
  <si>
    <t>H3V</t>
  </si>
  <si>
    <t>CAN_H3Y</t>
  </si>
  <si>
    <t>H3Y</t>
  </si>
  <si>
    <t>CAN_H4C</t>
  </si>
  <si>
    <t>H4C</t>
  </si>
  <si>
    <t>CAN_H4E</t>
  </si>
  <si>
    <t>H4E</t>
  </si>
  <si>
    <t>MONTREAL QC SUCC S</t>
  </si>
  <si>
    <t>CAN_H4G</t>
  </si>
  <si>
    <t>H4G</t>
  </si>
  <si>
    <t>VERDUN QC SUCC BUREAU-CHEF</t>
  </si>
  <si>
    <t>CAN_H4H</t>
  </si>
  <si>
    <t>H4H</t>
  </si>
  <si>
    <t>CAN_H4J</t>
  </si>
  <si>
    <t>H4J</t>
  </si>
  <si>
    <t>CAN_H4K</t>
  </si>
  <si>
    <t>H4K</t>
  </si>
  <si>
    <t>CAN_H4N</t>
  </si>
  <si>
    <t>H4N</t>
  </si>
  <si>
    <t>CAN_H4R</t>
  </si>
  <si>
    <t>H4R</t>
  </si>
  <si>
    <t>CAN_H7A</t>
  </si>
  <si>
    <t>H7A</t>
  </si>
  <si>
    <t>LAVAL QC PDF DUVERNAY</t>
  </si>
  <si>
    <t>CAN_H7G</t>
  </si>
  <si>
    <t>H7G</t>
  </si>
  <si>
    <t>LAVAL QC PDF L-D-RAPIDES</t>
  </si>
  <si>
    <t>CAN_H7L</t>
  </si>
  <si>
    <t>H7L</t>
  </si>
  <si>
    <t>LAVAL QC PDF MONTEREY 1</t>
  </si>
  <si>
    <t>CAN_H7R</t>
  </si>
  <si>
    <t>H7R</t>
  </si>
  <si>
    <t>LAVAL QC PDF LAVAL OUEST</t>
  </si>
  <si>
    <t>CAN_H7S</t>
  </si>
  <si>
    <t>H7S</t>
  </si>
  <si>
    <t>CAN_H7T</t>
  </si>
  <si>
    <t>H7T</t>
  </si>
  <si>
    <t>CAN_H7V</t>
  </si>
  <si>
    <t>H7V</t>
  </si>
  <si>
    <t>CAN_H7W</t>
  </si>
  <si>
    <t>H7W</t>
  </si>
  <si>
    <t>CAN_H7X</t>
  </si>
  <si>
    <t>H7X</t>
  </si>
  <si>
    <t>CAN_H8N</t>
  </si>
  <si>
    <t>H8N</t>
  </si>
  <si>
    <t>MONTREAL QC PDF CHAMPLAIN</t>
  </si>
  <si>
    <t>CAN_H8P</t>
  </si>
  <si>
    <t>H8P</t>
  </si>
  <si>
    <t>CAN_H8T</t>
  </si>
  <si>
    <t>H8T</t>
  </si>
  <si>
    <t>CAN_H8Y</t>
  </si>
  <si>
    <t>H8Y</t>
  </si>
  <si>
    <t>MONTREAL QC PDF ROXBORO</t>
  </si>
  <si>
    <t>CAN_H8Z</t>
  </si>
  <si>
    <t>H8Z</t>
  </si>
  <si>
    <t>CAN_H9A</t>
  </si>
  <si>
    <t>H9A</t>
  </si>
  <si>
    <t>MONTREAL QC PDF PIERREFONDS</t>
  </si>
  <si>
    <t>CAN_H9B</t>
  </si>
  <si>
    <t>H9B</t>
  </si>
  <si>
    <t>CAN_H9C</t>
  </si>
  <si>
    <t>H9C</t>
  </si>
  <si>
    <t>CAN_H9G</t>
  </si>
  <si>
    <t>H9G</t>
  </si>
  <si>
    <t>CAN_H9H</t>
  </si>
  <si>
    <t>H9H</t>
  </si>
  <si>
    <t>CAN_H9J</t>
  </si>
  <si>
    <t>H9J</t>
  </si>
  <si>
    <t>CAN_H9K</t>
  </si>
  <si>
    <t>H9K</t>
  </si>
  <si>
    <t>CAN_H9W</t>
  </si>
  <si>
    <t>H9W</t>
  </si>
  <si>
    <t>BEACONSFIELD QC PDF BEACONSFIELD</t>
  </si>
  <si>
    <t>CAN_H9X</t>
  </si>
  <si>
    <t>H9X</t>
  </si>
  <si>
    <t>BEACONSFIELD QC PDF STE-ANNE-BELVUE</t>
  </si>
  <si>
    <t>CAN_J3V</t>
  </si>
  <si>
    <t>J3V</t>
  </si>
  <si>
    <t>SAINT-BRUNO QC SUCC BUREAU-CHEF</t>
  </si>
  <si>
    <t>CAN_J3Y</t>
  </si>
  <si>
    <t>J3Y</t>
  </si>
  <si>
    <t>SAINT-HUBERT QC SUCC BUREAU-CHEF</t>
  </si>
  <si>
    <t>CAN_J4B</t>
  </si>
  <si>
    <t>J4B</t>
  </si>
  <si>
    <t>BOUCHERVILLE QC SUCC BUREAU-CHEF</t>
  </si>
  <si>
    <t>CAN_J4G</t>
  </si>
  <si>
    <t>J4G</t>
  </si>
  <si>
    <t>LONGUEUIL QC SUCC A</t>
  </si>
  <si>
    <t>CAN_J4H</t>
  </si>
  <si>
    <t>J4H</t>
  </si>
  <si>
    <t>CAN_J4J</t>
  </si>
  <si>
    <t>J4J</t>
  </si>
  <si>
    <t>LONGUEUIL QC SUCC BUREAU-CHEF</t>
  </si>
  <si>
    <t>CAN_J4K</t>
  </si>
  <si>
    <t>J4K</t>
  </si>
  <si>
    <t>CAN_J4L</t>
  </si>
  <si>
    <t>J4L</t>
  </si>
  <si>
    <t>CAN_J4M</t>
  </si>
  <si>
    <t>J4M</t>
  </si>
  <si>
    <t>CAN_J4N</t>
  </si>
  <si>
    <t>J4N</t>
  </si>
  <si>
    <t>CAN_J4P</t>
  </si>
  <si>
    <t>J4P</t>
  </si>
  <si>
    <t>BROSSARD QC PDF BROSSARD 2</t>
  </si>
  <si>
    <t>CAN_J4R</t>
  </si>
  <si>
    <t>J4R</t>
  </si>
  <si>
    <t>CAN_J4S</t>
  </si>
  <si>
    <t>J4S</t>
  </si>
  <si>
    <t>CAN_J4T</t>
  </si>
  <si>
    <t>J4T</t>
  </si>
  <si>
    <t>SAINT-HUBERT QC SUCC LAFLECHE</t>
  </si>
  <si>
    <t>CAN_J4V</t>
  </si>
  <si>
    <t>J4V</t>
  </si>
  <si>
    <t>CAN_J4W</t>
  </si>
  <si>
    <t>J4W</t>
  </si>
  <si>
    <t>BROSSARD QC PDF BROSSARD 1</t>
  </si>
  <si>
    <t>CAN_J4X</t>
  </si>
  <si>
    <t>J4X</t>
  </si>
  <si>
    <t>CAN_J4Y</t>
  </si>
  <si>
    <t>J4Y</t>
  </si>
  <si>
    <t>CAN_J4Z</t>
  </si>
  <si>
    <t>J4Z</t>
  </si>
  <si>
    <t>CAN_J5A</t>
  </si>
  <si>
    <t>J5A</t>
  </si>
  <si>
    <t>SAINT-CONSTANT QC SUCC BUREAU-CHEF</t>
  </si>
  <si>
    <t>CAN_J5R</t>
  </si>
  <si>
    <t>J5R</t>
  </si>
  <si>
    <t>LA PRAIRIE QC SUCC BUREAU-CHEF</t>
  </si>
  <si>
    <t>CAN_J6N</t>
  </si>
  <si>
    <t>J6N</t>
  </si>
  <si>
    <t>BEAUHARNOIS QC SUCC BUREAU-CHEF</t>
  </si>
  <si>
    <t>CAN_J6R</t>
  </si>
  <si>
    <t>J6R</t>
  </si>
  <si>
    <t>MERCIER QC SUCC BUREAU-CHEF</t>
  </si>
  <si>
    <t>CAN_J6Z</t>
  </si>
  <si>
    <t>J6Z</t>
  </si>
  <si>
    <t>ROSEMERE QC PDF ROSEMERE</t>
  </si>
  <si>
    <t>CAN_J7B</t>
  </si>
  <si>
    <t>J7B</t>
  </si>
  <si>
    <t>SAINTE-THERESE QC SUCC BUREAU-CHEF</t>
  </si>
  <si>
    <t>CAN_J7E</t>
  </si>
  <si>
    <t>J7E</t>
  </si>
  <si>
    <t>CAN_J7P</t>
  </si>
  <si>
    <t>J7P</t>
  </si>
  <si>
    <t>SAINT-EUSTACHE QC SUCC BUREAU-CHEF</t>
  </si>
  <si>
    <t>CAN_J7R</t>
  </si>
  <si>
    <t>J7R</t>
  </si>
  <si>
    <t>CAN_H1B</t>
  </si>
  <si>
    <t>H1B</t>
  </si>
  <si>
    <t>E4</t>
  </si>
  <si>
    <t>East moderate</t>
  </si>
  <si>
    <t>CAN_H1E</t>
  </si>
  <si>
    <t>H1E</t>
  </si>
  <si>
    <t>CAN_H1K</t>
  </si>
  <si>
    <t>H1K</t>
  </si>
  <si>
    <t>CAN_H1L</t>
  </si>
  <si>
    <t>H1L</t>
  </si>
  <si>
    <t>MONTREAL QC SUCC K</t>
  </si>
  <si>
    <t>CAN_H1M</t>
  </si>
  <si>
    <t>H1M</t>
  </si>
  <si>
    <t>CAN_H1N</t>
  </si>
  <si>
    <t>H1N</t>
  </si>
  <si>
    <t>CAN_H1P</t>
  </si>
  <si>
    <t>H1P</t>
  </si>
  <si>
    <t>CAN_H1R</t>
  </si>
  <si>
    <t>H1R</t>
  </si>
  <si>
    <t>CAN_H1S</t>
  </si>
  <si>
    <t>H1S</t>
  </si>
  <si>
    <t>CAN_H1X</t>
  </si>
  <si>
    <t>H1X</t>
  </si>
  <si>
    <t>CAN_H7B</t>
  </si>
  <si>
    <t>H7B</t>
  </si>
  <si>
    <t>CAN_H7C</t>
  </si>
  <si>
    <t>H7C</t>
  </si>
  <si>
    <t>CAN_H7E</t>
  </si>
  <si>
    <t>H7E</t>
  </si>
  <si>
    <t>CAN_H7H</t>
  </si>
  <si>
    <t>H7H</t>
  </si>
  <si>
    <t>LAVAL QC PDF MONTEREY 2</t>
  </si>
  <si>
    <t>CAN_H7J</t>
  </si>
  <si>
    <t>H7J</t>
  </si>
  <si>
    <t>CAN_H7K</t>
  </si>
  <si>
    <t>H7K</t>
  </si>
  <si>
    <t>CAN_H7M</t>
  </si>
  <si>
    <t>H7M</t>
  </si>
  <si>
    <t>CAN_H7N</t>
  </si>
  <si>
    <t>H7N</t>
  </si>
  <si>
    <t>CAN_H7P</t>
  </si>
  <si>
    <t>H7P</t>
  </si>
  <si>
    <t>CAN_H7Y</t>
  </si>
  <si>
    <t>H7Y</t>
  </si>
  <si>
    <t>CAN_H9E</t>
  </si>
  <si>
    <t>H9E</t>
  </si>
  <si>
    <t>CAN_J0L</t>
  </si>
  <si>
    <t>J0L</t>
  </si>
  <si>
    <t>MONTREAL #1 QC CDP</t>
  </si>
  <si>
    <t>CAN_J0N</t>
  </si>
  <si>
    <t>J0N</t>
  </si>
  <si>
    <t>MONTREAL #2 QC CDP</t>
  </si>
  <si>
    <t>CAN_J2W</t>
  </si>
  <si>
    <t>J2W</t>
  </si>
  <si>
    <t>SAINT-JEAN-SUR-RICHELIEU QC SUCC SAINT-LUC</t>
  </si>
  <si>
    <t>CAN_J2X</t>
  </si>
  <si>
    <t>J2X</t>
  </si>
  <si>
    <t>SAINT-JEAN-SUR-RICHELIEU QC SUCC BUREAU-CHEF</t>
  </si>
  <si>
    <t>CAN_J2Y</t>
  </si>
  <si>
    <t>J2Y</t>
  </si>
  <si>
    <t>CAN_J3A</t>
  </si>
  <si>
    <t>J3A</t>
  </si>
  <si>
    <t>CAN_J3B</t>
  </si>
  <si>
    <t>J3B</t>
  </si>
  <si>
    <t>CAN_J3E</t>
  </si>
  <si>
    <t>J3E</t>
  </si>
  <si>
    <t>SAINTE-JULIE QC SUCC BUREAU-CHEF</t>
  </si>
  <si>
    <t>CAN_J3G</t>
  </si>
  <si>
    <t>J3G</t>
  </si>
  <si>
    <t>BELOEIL QC SUCC BUREAU-CHEF</t>
  </si>
  <si>
    <t>CAN_J3L</t>
  </si>
  <si>
    <t>J3L</t>
  </si>
  <si>
    <t>CHAMBLY QC SUCC BUREAU-CHEF</t>
  </si>
  <si>
    <t>CAN_J3N</t>
  </si>
  <si>
    <t>J3N</t>
  </si>
  <si>
    <t>SAINT-BASILE-LE-GRAND QC SUCC BUREAU-CHEF</t>
  </si>
  <si>
    <t>CAN_J3X</t>
  </si>
  <si>
    <t>J3X</t>
  </si>
  <si>
    <t>VARENNES QC SUCC BUREAU-CHEF</t>
  </si>
  <si>
    <t>CAN_J3Z</t>
  </si>
  <si>
    <t>J3Z</t>
  </si>
  <si>
    <t>CAN_J5Z</t>
  </si>
  <si>
    <t>J5Z</t>
  </si>
  <si>
    <t>REPENTIGNY QC SUCC BUREAU-CHEF</t>
  </si>
  <si>
    <t>CAN_J6A</t>
  </si>
  <si>
    <t>J6A</t>
  </si>
  <si>
    <t>CAN_J6S</t>
  </si>
  <si>
    <t>J6S</t>
  </si>
  <si>
    <t>SALABERRY-DE-VALLEYFIELD QC SUCC BUREAU-CHEF</t>
  </si>
  <si>
    <t>CAN_J6T</t>
  </si>
  <si>
    <t>J6T</t>
  </si>
  <si>
    <t>CAN_J6V</t>
  </si>
  <si>
    <t>J6V</t>
  </si>
  <si>
    <t>TERREBONNE QC PDF 1</t>
  </si>
  <si>
    <t>CAN_J6W</t>
  </si>
  <si>
    <t>J6W</t>
  </si>
  <si>
    <t>CAN_J6X</t>
  </si>
  <si>
    <t>J6X</t>
  </si>
  <si>
    <t>CAN_J6Y</t>
  </si>
  <si>
    <t>J6Y</t>
  </si>
  <si>
    <t>CAN_J7A</t>
  </si>
  <si>
    <t>J7A</t>
  </si>
  <si>
    <t>CAN_J7C</t>
  </si>
  <si>
    <t>J7C</t>
  </si>
  <si>
    <t>CAN_J7G</t>
  </si>
  <si>
    <t>J7G</t>
  </si>
  <si>
    <t>CAN_J7H</t>
  </si>
  <si>
    <t>J7H</t>
  </si>
  <si>
    <t>CAN_J7J</t>
  </si>
  <si>
    <t>J7J</t>
  </si>
  <si>
    <t>MIRABEL QC SUCC BUREAU-CHEF</t>
  </si>
  <si>
    <t>CAN_J7K</t>
  </si>
  <si>
    <t>J7K</t>
  </si>
  <si>
    <t>TERREBONNE QC PDF 2</t>
  </si>
  <si>
    <t>CAN_J7L</t>
  </si>
  <si>
    <t>J7L</t>
  </si>
  <si>
    <t>CAN_J7N</t>
  </si>
  <si>
    <t>J7N</t>
  </si>
  <si>
    <t>CAN_J7T</t>
  </si>
  <si>
    <t>J7T</t>
  </si>
  <si>
    <t>SAINT-LAZARE QC SUCC BUREAU-CHEF</t>
  </si>
  <si>
    <t>CAN_J7V</t>
  </si>
  <si>
    <t>J7V</t>
  </si>
  <si>
    <t>VAUDREUIL-DORION QC SUCC BUREAU-CHEF</t>
  </si>
  <si>
    <t>CAN_H0M</t>
  </si>
  <si>
    <t>H0M</t>
  </si>
  <si>
    <t>CORNWALL ON DCF</t>
  </si>
  <si>
    <t>E5</t>
  </si>
  <si>
    <t>East low</t>
  </si>
  <si>
    <t>CAN_H1C</t>
  </si>
  <si>
    <t>H1C</t>
  </si>
  <si>
    <t>CAN_J0H</t>
  </si>
  <si>
    <t>J0H</t>
  </si>
  <si>
    <t>ST-HYACINTHE QC CDP</t>
  </si>
  <si>
    <t>CAN_J0J</t>
  </si>
  <si>
    <t>J0J</t>
  </si>
  <si>
    <t>ST-JEAN QC CDP</t>
  </si>
  <si>
    <t>CAN_J0P</t>
  </si>
  <si>
    <t>J0P</t>
  </si>
  <si>
    <t>VALLEYFIELD QC CDP</t>
  </si>
  <si>
    <t>CAN_J0S</t>
  </si>
  <si>
    <t>J0S</t>
  </si>
  <si>
    <t>CAN_J2N</t>
  </si>
  <si>
    <t>J2N</t>
  </si>
  <si>
    <t>FARNHAM QC SUCC BUREAU-CHEF</t>
  </si>
  <si>
    <t>CAN_J2S</t>
  </si>
  <si>
    <t>J2S</t>
  </si>
  <si>
    <t>SAINT-HYACINTHE QC SUCC BUREAU-CHEF</t>
  </si>
  <si>
    <t>CAN_J2T</t>
  </si>
  <si>
    <t>J2T</t>
  </si>
  <si>
    <t>CAN_J3H</t>
  </si>
  <si>
    <t>J3H</t>
  </si>
  <si>
    <t>CAN_J3M</t>
  </si>
  <si>
    <t>J3M</t>
  </si>
  <si>
    <t>MARIEVILLE QC SUCC BUREAU-CHEF</t>
  </si>
  <si>
    <t>CAN_J3R</t>
  </si>
  <si>
    <t>J3R</t>
  </si>
  <si>
    <t>SOREL-TRACY QC SUCC BUREAU-CHEF</t>
  </si>
  <si>
    <t>CAN_J5J</t>
  </si>
  <si>
    <t>J5J</t>
  </si>
  <si>
    <t>SAINTE-SOPHIE QC SUCC BUREAU-CHEF</t>
  </si>
  <si>
    <t>CAN_J5M</t>
  </si>
  <si>
    <t>J5M</t>
  </si>
  <si>
    <t>SAINT-LIN-LAURENTIDES QC SUCC BUREAU-CHEF</t>
  </si>
  <si>
    <t>CAN_J5W</t>
  </si>
  <si>
    <t>J5W</t>
  </si>
  <si>
    <t>L'ASSOMPTION QC SUCC BUREAU-CHEF</t>
  </si>
  <si>
    <t>CAN_J5X</t>
  </si>
  <si>
    <t>J5X</t>
  </si>
  <si>
    <t>L'EPIPHANIE QC SUCC BUREAU-CHEF</t>
  </si>
  <si>
    <t>CAN_J5Y</t>
  </si>
  <si>
    <t>J5Y</t>
  </si>
  <si>
    <t>CAN_J6E</t>
  </si>
  <si>
    <t>J6E</t>
  </si>
  <si>
    <t>JOLIETTE QC SUCC BUREAU-CHEF</t>
  </si>
  <si>
    <t>CAN_J7X</t>
  </si>
  <si>
    <t>J7X</t>
  </si>
  <si>
    <t>CAN_J7Y</t>
  </si>
  <si>
    <t>J7Y</t>
  </si>
  <si>
    <t>SAINT-JEROME QC SUCC BUREAU-CHEF</t>
  </si>
  <si>
    <t>CAN_J7Z</t>
  </si>
  <si>
    <t>J7Z</t>
  </si>
  <si>
    <t>CAN_J8H</t>
  </si>
  <si>
    <t>J8H</t>
  </si>
  <si>
    <t>LACHUTE QC SUCC BUREAU-CHEF</t>
  </si>
  <si>
    <t>CAN_K6A</t>
  </si>
  <si>
    <t>K6A</t>
  </si>
  <si>
    <t>HAWKESBURY ON STN MAIN</t>
  </si>
  <si>
    <t>CAN_G0A</t>
  </si>
  <si>
    <t>G0A</t>
  </si>
  <si>
    <t>QUEBEC # 1 QC CDP</t>
  </si>
  <si>
    <t>Quebec very low (excluding zones E1 - E5)</t>
  </si>
  <si>
    <t>CAN_G0C</t>
  </si>
  <si>
    <t>G0C</t>
  </si>
  <si>
    <t>MONT-JOLI # 1 QC CDP</t>
  </si>
  <si>
    <t>CAN_G0E</t>
  </si>
  <si>
    <t>G0E</t>
  </si>
  <si>
    <t>CAN_G0G</t>
  </si>
  <si>
    <t>G0G</t>
  </si>
  <si>
    <t>SEPT-ILES QC CDP</t>
  </si>
  <si>
    <t>CAN_G0H</t>
  </si>
  <si>
    <t>G0H</t>
  </si>
  <si>
    <t>BAIE COMEAU QC CDP</t>
  </si>
  <si>
    <t>CAN_G0J</t>
  </si>
  <si>
    <t>G0J</t>
  </si>
  <si>
    <t>MONT-JOLI # 2 QC CDP</t>
  </si>
  <si>
    <t>CAN_G0K</t>
  </si>
  <si>
    <t>G0K</t>
  </si>
  <si>
    <t>RIMOUSKI # 1 QC CDP</t>
  </si>
  <si>
    <t>CAN_G0L</t>
  </si>
  <si>
    <t>G0L</t>
  </si>
  <si>
    <t>RIVIERE-DU-LOUP QC CDP</t>
  </si>
  <si>
    <t>CAN_G0M</t>
  </si>
  <si>
    <t>G0M</t>
  </si>
  <si>
    <t>ST-GEORGES QC CDP</t>
  </si>
  <si>
    <t>CAN_G0N</t>
  </si>
  <si>
    <t>G0N</t>
  </si>
  <si>
    <t>THETFORD MINES QC CDP</t>
  </si>
  <si>
    <t>CAN_G0P</t>
  </si>
  <si>
    <t>G0P</t>
  </si>
  <si>
    <t>VICTORIAVILLE QC CDP</t>
  </si>
  <si>
    <t>CAN_G0R</t>
  </si>
  <si>
    <t>G0R</t>
  </si>
  <si>
    <t>QUEBEC # 2-A QC CDP</t>
  </si>
  <si>
    <t>CAN_G0S</t>
  </si>
  <si>
    <t>G0S</t>
  </si>
  <si>
    <t>QUEBEC # 2-B QC CDP</t>
  </si>
  <si>
    <t>CAN_G0T</t>
  </si>
  <si>
    <t>G0T</t>
  </si>
  <si>
    <t>CAN_G0V</t>
  </si>
  <si>
    <t>G0V</t>
  </si>
  <si>
    <t>CHICOUTIMI QC CDP</t>
  </si>
  <si>
    <t>CAN_G0W</t>
  </si>
  <si>
    <t>G0W</t>
  </si>
  <si>
    <t>CAN_G0X</t>
  </si>
  <si>
    <t>G0X</t>
  </si>
  <si>
    <t>TROIS-RIVIERES QC CDP</t>
  </si>
  <si>
    <t>CAN_G0Y</t>
  </si>
  <si>
    <t>G0Y</t>
  </si>
  <si>
    <t>CAN_G0Z</t>
  </si>
  <si>
    <t>G0Z</t>
  </si>
  <si>
    <t>CAN_G1A</t>
  </si>
  <si>
    <t>G1A</t>
  </si>
  <si>
    <t>QUEBEC QC SUCC TERMINUS</t>
  </si>
  <si>
    <t>CAN_G1B</t>
  </si>
  <si>
    <t>G1B</t>
  </si>
  <si>
    <t>QUEBEC QC PDF BEAUPORT</t>
  </si>
  <si>
    <t>CAN_G1C</t>
  </si>
  <si>
    <t>G1C</t>
  </si>
  <si>
    <t>CAN_G1E</t>
  </si>
  <si>
    <t>G1E</t>
  </si>
  <si>
    <t>CAN_G1G</t>
  </si>
  <si>
    <t>G1G</t>
  </si>
  <si>
    <t>QUEBEC QC PDF CHARLESBOURG</t>
  </si>
  <si>
    <t>CAN_G1H</t>
  </si>
  <si>
    <t>G1H</t>
  </si>
  <si>
    <t>CAN_G1J</t>
  </si>
  <si>
    <t>G1J</t>
  </si>
  <si>
    <t>QUEBEC QC PDF JOLY</t>
  </si>
  <si>
    <t>CAN_G1K</t>
  </si>
  <si>
    <t>G1K</t>
  </si>
  <si>
    <t>QUEBEC QC PDF LEON-HARMEL 1</t>
  </si>
  <si>
    <t>CAN_G1L</t>
  </si>
  <si>
    <t>G1L</t>
  </si>
  <si>
    <t>CAN_G1M</t>
  </si>
  <si>
    <t>G1M</t>
  </si>
  <si>
    <t>QUEBEC QC PDF JEAN-PERRIN</t>
  </si>
  <si>
    <t>CAN_G1N</t>
  </si>
  <si>
    <t>G1N</t>
  </si>
  <si>
    <t>QUEBEC QC PDF GRAHAM-BELL</t>
  </si>
  <si>
    <t>CAN_G1P</t>
  </si>
  <si>
    <t>G1P</t>
  </si>
  <si>
    <t>CAN_G1R</t>
  </si>
  <si>
    <t>G1R</t>
  </si>
  <si>
    <t>QUEBEC QC PDF LEON-HARMEL 2</t>
  </si>
  <si>
    <t>CAN_G1S</t>
  </si>
  <si>
    <t>G1S</t>
  </si>
  <si>
    <t>CAN_G1T</t>
  </si>
  <si>
    <t>G1T</t>
  </si>
  <si>
    <t>CAN_G1V</t>
  </si>
  <si>
    <t>G1V</t>
  </si>
  <si>
    <t>CAN_G1W</t>
  </si>
  <si>
    <t>G1W</t>
  </si>
  <si>
    <t>QUEBEC QC PDF DUPLESSIS</t>
  </si>
  <si>
    <t>CAN_G1X</t>
  </si>
  <si>
    <t>G1X</t>
  </si>
  <si>
    <t>CAN_G1Y</t>
  </si>
  <si>
    <t>G1Y</t>
  </si>
  <si>
    <t>QUEBEC QC SUCC L'ANC-LORETTE</t>
  </si>
  <si>
    <t>CAN_G2A</t>
  </si>
  <si>
    <t>G2A</t>
  </si>
  <si>
    <t>QUEBEC QC PDF LORETTEVILLE</t>
  </si>
  <si>
    <t>CAN_G2B</t>
  </si>
  <si>
    <t>G2B</t>
  </si>
  <si>
    <t>CAN_G2C</t>
  </si>
  <si>
    <t>G2C</t>
  </si>
  <si>
    <t>CAN_G2E</t>
  </si>
  <si>
    <t>G2E</t>
  </si>
  <si>
    <t>CAN_G2G</t>
  </si>
  <si>
    <t>G2G</t>
  </si>
  <si>
    <t>CAN_G2J</t>
  </si>
  <si>
    <t>G2J</t>
  </si>
  <si>
    <t>CAN_G2K</t>
  </si>
  <si>
    <t>G2K</t>
  </si>
  <si>
    <t>CAN_G2L</t>
  </si>
  <si>
    <t>G2L</t>
  </si>
  <si>
    <t>CAN_G2M</t>
  </si>
  <si>
    <t>G2M</t>
  </si>
  <si>
    <t>CAN_G2N</t>
  </si>
  <si>
    <t>G2N</t>
  </si>
  <si>
    <t>CAN_G3A</t>
  </si>
  <si>
    <t>G3A</t>
  </si>
  <si>
    <t>SAINT-AUGUSTIN-DE-DESMAURES QC SUCC BUREAU-CHEF</t>
  </si>
  <si>
    <t>CAN_G3B</t>
  </si>
  <si>
    <t>G3B</t>
  </si>
  <si>
    <t>LAC-BEAUPORT QC SUCC BUREAU-CHEF</t>
  </si>
  <si>
    <t>CAN_G3C</t>
  </si>
  <si>
    <t>G3C</t>
  </si>
  <si>
    <t>STONEHAM-ET-TEWKESBURY QC SUCC BUREAU-CHEF</t>
  </si>
  <si>
    <t>CAN_G3E</t>
  </si>
  <si>
    <t>G3E</t>
  </si>
  <si>
    <t>QUEBEC QC SUCC SAINT-EMILE</t>
  </si>
  <si>
    <t>CAN_G3G</t>
  </si>
  <si>
    <t>G3G</t>
  </si>
  <si>
    <t>QUEBEC QC SUCC LAC-ST-CHARLES</t>
  </si>
  <si>
    <t>CAN_G3H</t>
  </si>
  <si>
    <t>G3H</t>
  </si>
  <si>
    <t>PONT-ROUGE QC SUCC BUREAU-CHEF</t>
  </si>
  <si>
    <t>CAN_G3J</t>
  </si>
  <si>
    <t>G3J</t>
  </si>
  <si>
    <t>QUEBEC QC SUCC VAL-BELAIR</t>
  </si>
  <si>
    <t>CAN_G3K</t>
  </si>
  <si>
    <t>G3K</t>
  </si>
  <si>
    <t>CAN_G3L</t>
  </si>
  <si>
    <t>G3L</t>
  </si>
  <si>
    <t>SAINT-RAYMOND QC SUCC BUREAU-CHEF</t>
  </si>
  <si>
    <t>CAN_G3M</t>
  </si>
  <si>
    <t>G3M</t>
  </si>
  <si>
    <t>DONNACONA QC SUCC BUREAU-CHEF</t>
  </si>
  <si>
    <t>CAN_G3N</t>
  </si>
  <si>
    <t>G3N</t>
  </si>
  <si>
    <t>STE-CATHERINE-DE-LA-J-CARTIER QC SUCC BUREAU-CHEF</t>
  </si>
  <si>
    <t>CAN_G3Z</t>
  </si>
  <si>
    <t>G3Z</t>
  </si>
  <si>
    <t>BAIE-SAINT-PAUL QC SUCC BUREAU CHEF</t>
  </si>
  <si>
    <t>CAN_G4A</t>
  </si>
  <si>
    <t>G4A</t>
  </si>
  <si>
    <t>CLERMONT QC SUCC BUREAU-CHEF</t>
  </si>
  <si>
    <t>CAN_G4R</t>
  </si>
  <si>
    <t>G4R</t>
  </si>
  <si>
    <t>SEPT-ILES QC SUCC BUREAU-CHEF</t>
  </si>
  <si>
    <t>CAN_G4S</t>
  </si>
  <si>
    <t>G4S</t>
  </si>
  <si>
    <t>CAN_G4T</t>
  </si>
  <si>
    <t>G4T</t>
  </si>
  <si>
    <t>CAP-AUX-MEULES QC SUCC PRINCIPALE</t>
  </si>
  <si>
    <t>CAN_G4V</t>
  </si>
  <si>
    <t>G4V</t>
  </si>
  <si>
    <t>SAINTE-ANNE-DES-MONTS QC SUCC BUREAU-CHEF</t>
  </si>
  <si>
    <t>CAN_G4W</t>
  </si>
  <si>
    <t>G4W</t>
  </si>
  <si>
    <t>MATANE QC SUCC BUREAU-CHEF</t>
  </si>
  <si>
    <t>CAN_G4X</t>
  </si>
  <si>
    <t>G4X</t>
  </si>
  <si>
    <t>GASPE QC SUCC BUREAU-CHEF</t>
  </si>
  <si>
    <t>CAN_G4Z</t>
  </si>
  <si>
    <t>G4Z</t>
  </si>
  <si>
    <t>BAIE-COMEAU QC SUCC BUREAU-CHEF</t>
  </si>
  <si>
    <t>CAN_G5A</t>
  </si>
  <si>
    <t>G5A</t>
  </si>
  <si>
    <t>LA MALBAIE QC SUCC BUREAU-CHEF</t>
  </si>
  <si>
    <t>CAN_G5B</t>
  </si>
  <si>
    <t>G5B</t>
  </si>
  <si>
    <t>PORT-CARTIER QC SUCC BUREAU-CHEF</t>
  </si>
  <si>
    <t>CAN_G5C</t>
  </si>
  <si>
    <t>G5C</t>
  </si>
  <si>
    <t>CAN_G5H</t>
  </si>
  <si>
    <t>G5H</t>
  </si>
  <si>
    <t>MONT-JOLI QC SUCC BUREAU-CHEF</t>
  </si>
  <si>
    <t>CAN_G5J</t>
  </si>
  <si>
    <t>G5J</t>
  </si>
  <si>
    <t>AMQUI QC SUCC BUREAU-CHEF</t>
  </si>
  <si>
    <t>CAN_G5L</t>
  </si>
  <si>
    <t>G5L</t>
  </si>
  <si>
    <t>RIMOUSKI QC PDF RIMOUSKI</t>
  </si>
  <si>
    <t>CAN_G5M</t>
  </si>
  <si>
    <t>G5M</t>
  </si>
  <si>
    <t>CAN_G5N</t>
  </si>
  <si>
    <t>G5N</t>
  </si>
  <si>
    <t>CAN_G5R</t>
  </si>
  <si>
    <t>G5R</t>
  </si>
  <si>
    <t>RIVIERE-DU-LOUP QC SUCC BUREAU-CHEF</t>
  </si>
  <si>
    <t>CAN_G5T</t>
  </si>
  <si>
    <t>G5T</t>
  </si>
  <si>
    <t>DEGELIS QC SUCC BUREAU-CHEF</t>
  </si>
  <si>
    <t>CAN_G5V</t>
  </si>
  <si>
    <t>G5V</t>
  </si>
  <si>
    <t>MONTMAGNY QC SUCC BUREAU-CHEF</t>
  </si>
  <si>
    <t>CAN_G5X</t>
  </si>
  <si>
    <t>G5X</t>
  </si>
  <si>
    <t>BEAUCEVILLE QC SUCC BUREAU-CHEF</t>
  </si>
  <si>
    <t>CAN_G5Y</t>
  </si>
  <si>
    <t>G5Y</t>
  </si>
  <si>
    <t>SAINT-GEORGES QC SUCC BUREAU-CHEF</t>
  </si>
  <si>
    <t>CAN_G5Z</t>
  </si>
  <si>
    <t>G5Z</t>
  </si>
  <si>
    <t>CAN_G6A</t>
  </si>
  <si>
    <t>G6A</t>
  </si>
  <si>
    <t>CAN_G6B</t>
  </si>
  <si>
    <t>G6B</t>
  </si>
  <si>
    <t>LAC-MEGANTIC QC SUCC BUREAU-CHEF</t>
  </si>
  <si>
    <t>CAN_G6C</t>
  </si>
  <si>
    <t>G6C</t>
  </si>
  <si>
    <t>PINTENDRE QC SUCC BUREAU-CHEF</t>
  </si>
  <si>
    <t>CAN_G6E</t>
  </si>
  <si>
    <t>G6E</t>
  </si>
  <si>
    <t>SAINTE-MARIE QC SUCC BUREAU-CHEF</t>
  </si>
  <si>
    <t>CAN_G6G</t>
  </si>
  <si>
    <t>G6G</t>
  </si>
  <si>
    <t>THETFORD MINES QC SUCC BUREAU-CHEF</t>
  </si>
  <si>
    <t>CAN_G6H</t>
  </si>
  <si>
    <t>G6H</t>
  </si>
  <si>
    <t>CAN_G6J</t>
  </si>
  <si>
    <t>G6J</t>
  </si>
  <si>
    <t>SAINT-ETIENNE-DE-LAUZON QC SUCC BUREAU-CHEF</t>
  </si>
  <si>
    <t>CAN_G6K</t>
  </si>
  <si>
    <t>G6K</t>
  </si>
  <si>
    <t>SAINT-REDEMPTEUR QC SUCC BUREAU-CHEF</t>
  </si>
  <si>
    <t>CAN_G6L</t>
  </si>
  <si>
    <t>G6L</t>
  </si>
  <si>
    <t>PLESSISVILLE QC SUCC BUREAU-CHEF</t>
  </si>
  <si>
    <t>CAN_G6P</t>
  </si>
  <si>
    <t>G6P</t>
  </si>
  <si>
    <t>VICTORIAVILLE QC SUCC BUREAU-CHEF</t>
  </si>
  <si>
    <t>CAN_G6R</t>
  </si>
  <si>
    <t>G6R</t>
  </si>
  <si>
    <t>CAN_G6S</t>
  </si>
  <si>
    <t>G6S</t>
  </si>
  <si>
    <t>CAN_G6T</t>
  </si>
  <si>
    <t>G6T</t>
  </si>
  <si>
    <t>CAN_G6V</t>
  </si>
  <si>
    <t>G6V</t>
  </si>
  <si>
    <t>LEVIS QC SUCC LEVIS</t>
  </si>
  <si>
    <t>CAN_G6W</t>
  </si>
  <si>
    <t>G6W</t>
  </si>
  <si>
    <t>CAN_G6X</t>
  </si>
  <si>
    <t>G6X</t>
  </si>
  <si>
    <t>CAN_G6Z</t>
  </si>
  <si>
    <t>G6Z</t>
  </si>
  <si>
    <t>SAINT-JEAN-CHRYSOSTOME QC SUCC BUREAU-CHEF</t>
  </si>
  <si>
    <t>CAN_G7A</t>
  </si>
  <si>
    <t>G7A</t>
  </si>
  <si>
    <t>SAINT-NICOLAS QC SUCC BUREAU-CHEF</t>
  </si>
  <si>
    <t>CAN_G7B</t>
  </si>
  <si>
    <t>G7B</t>
  </si>
  <si>
    <t>CHICOUTIMI CITE QC PDF LA BAIE</t>
  </si>
  <si>
    <t>CAN_G7G</t>
  </si>
  <si>
    <t>G7G</t>
  </si>
  <si>
    <t>CHICOUTIMI CITE QC PDF CHICOUTIMI</t>
  </si>
  <si>
    <t>CAN_G7H</t>
  </si>
  <si>
    <t>G7H</t>
  </si>
  <si>
    <t>CAN_G7J</t>
  </si>
  <si>
    <t>G7J</t>
  </si>
  <si>
    <t>CAN_G7K</t>
  </si>
  <si>
    <t>G7K</t>
  </si>
  <si>
    <t>CAN_G7N</t>
  </si>
  <si>
    <t>G7N</t>
  </si>
  <si>
    <t>LATERRIERE QC SUCC BUREAU CHEF</t>
  </si>
  <si>
    <t>CAN_G7P</t>
  </si>
  <si>
    <t>G7P</t>
  </si>
  <si>
    <t>CHICOUTIMI QC SUCC DESSERTE 1-A</t>
  </si>
  <si>
    <t>CAN_G7S</t>
  </si>
  <si>
    <t>G7S</t>
  </si>
  <si>
    <t>JONQUIERE CITE QC PDF JONQUIERE</t>
  </si>
  <si>
    <t>CAN_G7T</t>
  </si>
  <si>
    <t>G7T</t>
  </si>
  <si>
    <t>CAN_G7X</t>
  </si>
  <si>
    <t>G7X</t>
  </si>
  <si>
    <t>CAN_G7Y</t>
  </si>
  <si>
    <t>G7Y</t>
  </si>
  <si>
    <t>CAN_G7Z</t>
  </si>
  <si>
    <t>G7Z</t>
  </si>
  <si>
    <t>CAN_G8A</t>
  </si>
  <si>
    <t>G8A</t>
  </si>
  <si>
    <t>CAN_G8B</t>
  </si>
  <si>
    <t>G8B</t>
  </si>
  <si>
    <t>ALMA QC SUCC BUREAU-CHEF</t>
  </si>
  <si>
    <t>CAN_G8C</t>
  </si>
  <si>
    <t>G8C</t>
  </si>
  <si>
    <t>CAN_G8E</t>
  </si>
  <si>
    <t>G8E</t>
  </si>
  <si>
    <t>CAN_G8G</t>
  </si>
  <si>
    <t>G8G</t>
  </si>
  <si>
    <t>METABETCHOUAN-LAC-A-LA-CROIX QC SUCC BUREAU-CHEF</t>
  </si>
  <si>
    <t>CAN_G8H</t>
  </si>
  <si>
    <t>G8H</t>
  </si>
  <si>
    <t>ROBERVAL QC SUCC BUREAU-CHEF</t>
  </si>
  <si>
    <t>CAN_G8J</t>
  </si>
  <si>
    <t>G8J</t>
  </si>
  <si>
    <t>CHICOUTIMI QC SUCC DESSERTE 2-A</t>
  </si>
  <si>
    <t>CAN_G8K</t>
  </si>
  <si>
    <t>G8K</t>
  </si>
  <si>
    <t>SAINT-FELICIEN QC SUCC BUREAU-CHEF</t>
  </si>
  <si>
    <t>CAN_G8L</t>
  </si>
  <si>
    <t>G8L</t>
  </si>
  <si>
    <t>DOLBEAU-MISTASSINI QC SUCC BUREAU-CHEF</t>
  </si>
  <si>
    <t>CAN_G8M</t>
  </si>
  <si>
    <t>G8M</t>
  </si>
  <si>
    <t>NORMANDIN QC PDF PRINCIPAL</t>
  </si>
  <si>
    <t>CAN_G8N</t>
  </si>
  <si>
    <t>G8N</t>
  </si>
  <si>
    <t>HEBERTVILLE QC PDF PRINCIPAL</t>
  </si>
  <si>
    <t>CAN_G8P</t>
  </si>
  <si>
    <t>G8P</t>
  </si>
  <si>
    <t>CHIBOUGAMAU QC SUCC BUREAU-CHEF</t>
  </si>
  <si>
    <t>CAN_G8T</t>
  </si>
  <si>
    <t>G8T</t>
  </si>
  <si>
    <t>TROIS-RIVIERES QC PDF 2</t>
  </si>
  <si>
    <t>CAN_G8V</t>
  </si>
  <si>
    <t>G8V</t>
  </si>
  <si>
    <t>CAN_G8W</t>
  </si>
  <si>
    <t>G8W</t>
  </si>
  <si>
    <t>CAN_G8Y</t>
  </si>
  <si>
    <t>G8Y</t>
  </si>
  <si>
    <t>TROIS-RIVIERES QC PDF 1</t>
  </si>
  <si>
    <t>CAN_G8Z</t>
  </si>
  <si>
    <t>G8Z</t>
  </si>
  <si>
    <t>CAN_G9A</t>
  </si>
  <si>
    <t>G9A</t>
  </si>
  <si>
    <t>CAN_G9B</t>
  </si>
  <si>
    <t>G9B</t>
  </si>
  <si>
    <t>CAN_G9C</t>
  </si>
  <si>
    <t>G9C</t>
  </si>
  <si>
    <t>CAN_G9H</t>
  </si>
  <si>
    <t>G9H</t>
  </si>
  <si>
    <t>BECANCOUR QC SUCC BUREAU-CHEF</t>
  </si>
  <si>
    <t>CAN_G9N</t>
  </si>
  <si>
    <t>G9N</t>
  </si>
  <si>
    <t>SHAWINIGAN QC SUCC BUREAU-CHEF</t>
  </si>
  <si>
    <t>CAN_G9P</t>
  </si>
  <si>
    <t>G9P</t>
  </si>
  <si>
    <t>CAN_G9R</t>
  </si>
  <si>
    <t>G9R</t>
  </si>
  <si>
    <t>CAN_G9T</t>
  </si>
  <si>
    <t>G9T</t>
  </si>
  <si>
    <t>GRAND-MERE QC SUCC BUREAU-CHEF</t>
  </si>
  <si>
    <t>CAN_G9X</t>
  </si>
  <si>
    <t>G9X</t>
  </si>
  <si>
    <t>LA TUQUE QC SUCC BUREAU-CHEF</t>
  </si>
  <si>
    <t>CAN_J0A</t>
  </si>
  <si>
    <t>J0A</t>
  </si>
  <si>
    <t>SHERBROOKE QC CDP</t>
  </si>
  <si>
    <t>0e</t>
  </si>
  <si>
    <t>J0B</t>
  </si>
  <si>
    <t>CAN_J0C</t>
  </si>
  <si>
    <t>J0C</t>
  </si>
  <si>
    <t>DRUMMONDVILLE QC CDP</t>
  </si>
  <si>
    <t>CAN_J0E</t>
  </si>
  <si>
    <t>J0E</t>
  </si>
  <si>
    <t>GRANBY QC CDP</t>
  </si>
  <si>
    <t>CAN_J0G</t>
  </si>
  <si>
    <t>J0G</t>
  </si>
  <si>
    <t>SOREL QC CDP</t>
  </si>
  <si>
    <t>9r</t>
  </si>
  <si>
    <t>1t</t>
  </si>
  <si>
    <t>JOLIETTE QC CDP</t>
  </si>
  <si>
    <t>CAN_J0M</t>
  </si>
  <si>
    <t>J0M</t>
  </si>
  <si>
    <t>MTL (NV-QC) QC CDP</t>
  </si>
  <si>
    <t>CAN_J0R</t>
  </si>
  <si>
    <t>J0R</t>
  </si>
  <si>
    <t>SAINT-JEROME QC CDP</t>
  </si>
  <si>
    <t>CAN_J0T</t>
  </si>
  <si>
    <t>J0T</t>
  </si>
  <si>
    <t>ST-AGATHE QC CDP</t>
  </si>
  <si>
    <t>CAN_J0V</t>
  </si>
  <si>
    <t>J0V</t>
  </si>
  <si>
    <t>CAN_J0W</t>
  </si>
  <si>
    <t>J0W</t>
  </si>
  <si>
    <t>MONT-LAURIER QC CDP</t>
  </si>
  <si>
    <t>CAN_J0X</t>
  </si>
  <si>
    <t>J0X</t>
  </si>
  <si>
    <t>HULL QC CDP</t>
  </si>
  <si>
    <t>CAN_J0Y</t>
  </si>
  <si>
    <t>J0Y</t>
  </si>
  <si>
    <t>VAL D'OR QC CDP</t>
  </si>
  <si>
    <t>CAN_J0Z</t>
  </si>
  <si>
    <t>J0Z</t>
  </si>
  <si>
    <t>ROUYN-NORANDA QC CDP</t>
  </si>
  <si>
    <t>CAN_J1A</t>
  </si>
  <si>
    <t>J1A</t>
  </si>
  <si>
    <t>COATICOOK QC SUCC BUREAU-CHEF</t>
  </si>
  <si>
    <t>CAN_J1C</t>
  </si>
  <si>
    <t>J1C</t>
  </si>
  <si>
    <t>SHERBROOKE QC SUCC BROMPTONVILLE</t>
  </si>
  <si>
    <t>CAN_J1E</t>
  </si>
  <si>
    <t>J1E</t>
  </si>
  <si>
    <t>SHERBROOKE QC SUCC BUREAU-CHEF</t>
  </si>
  <si>
    <t>CAN_J1G</t>
  </si>
  <si>
    <t>J1G</t>
  </si>
  <si>
    <t>CAN_J1H</t>
  </si>
  <si>
    <t>J1H</t>
  </si>
  <si>
    <t>CAN_J1J</t>
  </si>
  <si>
    <t>J1J</t>
  </si>
  <si>
    <t>CAN_J1K</t>
  </si>
  <si>
    <t>J1K</t>
  </si>
  <si>
    <t>CAN_J1L</t>
  </si>
  <si>
    <t>J1L</t>
  </si>
  <si>
    <t>CAN_J1M</t>
  </si>
  <si>
    <t>J1M</t>
  </si>
  <si>
    <t>CAN_J1N</t>
  </si>
  <si>
    <t>J1N</t>
  </si>
  <si>
    <t>CAN_J1R</t>
  </si>
  <si>
    <t>J1R</t>
  </si>
  <si>
    <t>SHERBROOKE QC SUCC ST-ELI-D'ORFORD</t>
  </si>
  <si>
    <t>CAN_J1S</t>
  </si>
  <si>
    <t>J1S</t>
  </si>
  <si>
    <t>WINDSOR QC SUCC BUREAU-CHEF</t>
  </si>
  <si>
    <t>CAN_J1T</t>
  </si>
  <si>
    <t>J1T</t>
  </si>
  <si>
    <t>ASBESTOS QC SUCC BUREAU-CHEF</t>
  </si>
  <si>
    <t>CAN_J1X</t>
  </si>
  <si>
    <t>J1X</t>
  </si>
  <si>
    <t>MAGOG QC SUCC BUREAU-CHEF</t>
  </si>
  <si>
    <t>CAN_J1Z</t>
  </si>
  <si>
    <t>J1Z</t>
  </si>
  <si>
    <t>SAINT-CYRILLE-DE-WENDOVER QC SUCC BUREAU-CHEF</t>
  </si>
  <si>
    <t>CAN_J2A</t>
  </si>
  <si>
    <t>J2A</t>
  </si>
  <si>
    <t>DRUMMONDVILLE QC SUCC BUREAU-CHEF</t>
  </si>
  <si>
    <t>CAN_J2B</t>
  </si>
  <si>
    <t>J2B</t>
  </si>
  <si>
    <t>CAN_J2C</t>
  </si>
  <si>
    <t>J2C</t>
  </si>
  <si>
    <t>CAN_J2E</t>
  </si>
  <si>
    <t>J2E</t>
  </si>
  <si>
    <t>CAN_J2G</t>
  </si>
  <si>
    <t>J2G</t>
  </si>
  <si>
    <t>GRANBY QC SUCC BUREAU-CHEF</t>
  </si>
  <si>
    <t>CAN_J2H</t>
  </si>
  <si>
    <t>J2H</t>
  </si>
  <si>
    <t>CAN_J2J</t>
  </si>
  <si>
    <t>J2J</t>
  </si>
  <si>
    <t>CAN_J2K</t>
  </si>
  <si>
    <t>J2K</t>
  </si>
  <si>
    <t>COWANSVILLE QC SUCC BUREAU-CHEF</t>
  </si>
  <si>
    <t>CAN_J2L</t>
  </si>
  <si>
    <t>J2L</t>
  </si>
  <si>
    <t>BROMONT QC SUCC BUREAU-CHEF</t>
  </si>
  <si>
    <t>CAN_J2M</t>
  </si>
  <si>
    <t>J2M</t>
  </si>
  <si>
    <t>SHEFFORD QC SUCC BUREAU-CHEF</t>
  </si>
  <si>
    <t>CAN_J2R</t>
  </si>
  <si>
    <t>J2R</t>
  </si>
  <si>
    <t>CAN_J3P</t>
  </si>
  <si>
    <t>J3P</t>
  </si>
  <si>
    <t>CAN_J3T</t>
  </si>
  <si>
    <t>J3T</t>
  </si>
  <si>
    <t>NICOLET QC SUCC BUREAU-CHEF</t>
  </si>
  <si>
    <t>CAN_J5B</t>
  </si>
  <si>
    <t>J5B</t>
  </si>
  <si>
    <t>DELSON QC SUCC BUREAU-CHEF</t>
  </si>
  <si>
    <t>CAN_J5C</t>
  </si>
  <si>
    <t>J5C</t>
  </si>
  <si>
    <t>SAINTE-CATHERINE QC SUCC BUREAU-CHEF</t>
  </si>
  <si>
    <t>CAN_J5K</t>
  </si>
  <si>
    <t>J5K</t>
  </si>
  <si>
    <t>SAINT-COLOMBAN QC SUCC PRINCIPALE</t>
  </si>
  <si>
    <t>CAN_J5L</t>
  </si>
  <si>
    <t>J5L</t>
  </si>
  <si>
    <t>SAINT-JEROME QC SUCC BELLEFEUILLE</t>
  </si>
  <si>
    <t>CAN_J5T</t>
  </si>
  <si>
    <t>J5T</t>
  </si>
  <si>
    <t>LAVALTRIE QC SUCC BUREAU-CHEF</t>
  </si>
  <si>
    <t>CAN_J5V</t>
  </si>
  <si>
    <t>J5V</t>
  </si>
  <si>
    <t>LOUISEVILLE QC SUCC BUREAU-CHEF</t>
  </si>
  <si>
    <t>CAN_J7M</t>
  </si>
  <si>
    <t>J7M</t>
  </si>
  <si>
    <t>CAN_J7W</t>
  </si>
  <si>
    <t>J7W</t>
  </si>
  <si>
    <t>CAN_J8A</t>
  </si>
  <si>
    <t>J8A</t>
  </si>
  <si>
    <t>SAINT-HIPPOLYTE QC SUCC BUREAU-CHEF</t>
  </si>
  <si>
    <t>CAN_J8B</t>
  </si>
  <si>
    <t>J8B</t>
  </si>
  <si>
    <t>SAINTE-ADELE QC SUCC BUREAU-CHEF</t>
  </si>
  <si>
    <t>CAN_J8C</t>
  </si>
  <si>
    <t>J8C</t>
  </si>
  <si>
    <t>SAINTE-AGATHE-DES-MONTS QC SUCC BUREAU-CHEF</t>
  </si>
  <si>
    <t>0l</t>
  </si>
  <si>
    <t>J8E</t>
  </si>
  <si>
    <t>MONT-TREMBLANT QC SUCC PRINCIPALE</t>
  </si>
  <si>
    <t>CAN_J8G</t>
  </si>
  <si>
    <t>J8G</t>
  </si>
  <si>
    <t>BROWNSBURG-CHATHAM QC SUCC BUREAU-CHEF</t>
  </si>
  <si>
    <t>CAN_J8L</t>
  </si>
  <si>
    <t>J8L</t>
  </si>
  <si>
    <t>GATINEAU QC SUCC BUCKINGHAM</t>
  </si>
  <si>
    <t>CAN_J8M</t>
  </si>
  <si>
    <t>J8M</t>
  </si>
  <si>
    <t>GATINEAU QC SUCC MASSON-ANGERS</t>
  </si>
  <si>
    <t>CAN_J8N</t>
  </si>
  <si>
    <t>J8N</t>
  </si>
  <si>
    <t>VAL-DES-MONTS QC SUCC BUREAU-CHEF</t>
  </si>
  <si>
    <t>CAN_J8P</t>
  </si>
  <si>
    <t>J8P</t>
  </si>
  <si>
    <t>GATINEAU QC SUCC BUREAU-CHEF</t>
  </si>
  <si>
    <t>CAN_J8R</t>
  </si>
  <si>
    <t>J8R</t>
  </si>
  <si>
    <t>CAN_J8T</t>
  </si>
  <si>
    <t>J8T</t>
  </si>
  <si>
    <t>CAN_J8V</t>
  </si>
  <si>
    <t>J8V</t>
  </si>
  <si>
    <t>CAN_J8X</t>
  </si>
  <si>
    <t>J8X</t>
  </si>
  <si>
    <t>GATINEAU QC PDF HULL</t>
  </si>
  <si>
    <t>CAN_J8Y</t>
  </si>
  <si>
    <t>J8Y</t>
  </si>
  <si>
    <t>CAN_J8Z</t>
  </si>
  <si>
    <t>J8Z</t>
  </si>
  <si>
    <t>CAN_J9A</t>
  </si>
  <si>
    <t>J9A</t>
  </si>
  <si>
    <t>CAN_J9B</t>
  </si>
  <si>
    <t>J9B</t>
  </si>
  <si>
    <t>CHELSEA QC SUCC BUREAU-CHEF</t>
  </si>
  <si>
    <t>CAN_J9E</t>
  </si>
  <si>
    <t>J9E</t>
  </si>
  <si>
    <t>MANIWAKI QC SUCC BUREAU-CHEF</t>
  </si>
  <si>
    <t>CAN_J9H</t>
  </si>
  <si>
    <t>J9H</t>
  </si>
  <si>
    <t>GATINEAU QC PDF AYLMER</t>
  </si>
  <si>
    <t>CAN_J9J</t>
  </si>
  <si>
    <t>J9J</t>
  </si>
  <si>
    <t>CAN_J9L</t>
  </si>
  <si>
    <t>J9L</t>
  </si>
  <si>
    <t>MONT-LAURIER QC SUCC BUREAU-CHEF</t>
  </si>
  <si>
    <t>CAN_J9P</t>
  </si>
  <si>
    <t>J9P</t>
  </si>
  <si>
    <t>VAL-D'OR QC SUCC BUREAU-CHEF</t>
  </si>
  <si>
    <t>CAN_J9T</t>
  </si>
  <si>
    <t>J9T</t>
  </si>
  <si>
    <t>AMOS QC SUCC BUREAU-CHEF</t>
  </si>
  <si>
    <t>CAN_J9V</t>
  </si>
  <si>
    <t>J9V</t>
  </si>
  <si>
    <t>VILLE-MARIE QC SUCC BUREAU-CHEF</t>
  </si>
  <si>
    <t>CAN_J9X</t>
  </si>
  <si>
    <t>J9X</t>
  </si>
  <si>
    <t>ROUYN-NORANDA QC SUCC BUREAU-CHEF</t>
  </si>
  <si>
    <t>CAN_J9Y</t>
  </si>
  <si>
    <t>J9Y</t>
  </si>
  <si>
    <t>CAN_J9Z</t>
  </si>
  <si>
    <t>J9Z</t>
  </si>
  <si>
    <t>LA SARRE QC SUCC BUREAU-CHEF</t>
  </si>
  <si>
    <t>EQ-16</t>
  </si>
  <si>
    <t>EQ-E5</t>
  </si>
  <si>
    <t>EQ-E4</t>
  </si>
  <si>
    <t>EQ-E3</t>
  </si>
  <si>
    <t>EQ-E2</t>
  </si>
  <si>
    <t>EQ-E1</t>
  </si>
  <si>
    <t>SBU</t>
  </si>
  <si>
    <t>AOP</t>
  </si>
  <si>
    <t>SBU / WD Deductible</t>
  </si>
  <si>
    <t>VaGo Tool</t>
  </si>
  <si>
    <t>Claims</t>
  </si>
  <si>
    <t>Aluminum wiring</t>
  </si>
  <si>
    <t>Roof Renovation</t>
  </si>
  <si>
    <t>Roof renovation</t>
  </si>
  <si>
    <t>Less than 5 years</t>
  </si>
  <si>
    <t>More than 25 years</t>
  </si>
  <si>
    <t># of residential units</t>
  </si>
  <si>
    <t># of commercial units</t>
  </si>
  <si>
    <t>Plumbing  Renovation</t>
  </si>
  <si>
    <t>Electrical Renovation</t>
  </si>
  <si>
    <t>Heating Renovation</t>
  </si>
  <si>
    <t>Plumbing renovations</t>
  </si>
  <si>
    <t>Electrical renovations</t>
  </si>
  <si>
    <t>Heating renovations</t>
  </si>
  <si>
    <t>Building Owner / Residential (Annual Lets)</t>
  </si>
  <si>
    <t>Building Owner / Semi-Commercial (Restaurant)</t>
  </si>
  <si>
    <t>Building Owner / Semi-Commercial (Offices+retail)</t>
  </si>
  <si>
    <t>WD</t>
  </si>
  <si>
    <t>WD Limit</t>
  </si>
  <si>
    <t>WD Deductible</t>
  </si>
  <si>
    <t>Excluded</t>
  </si>
  <si>
    <t>SBU Deductible</t>
  </si>
  <si>
    <t>Frame/Vinyl</t>
  </si>
  <si>
    <t>Y-P</t>
  </si>
  <si>
    <t>Building Owner / Residential (Short term&lt;50%)</t>
  </si>
  <si>
    <t>Y-P=Yes-Pigtailed</t>
  </si>
  <si>
    <t>Protected - 1</t>
  </si>
  <si>
    <t>Protected - 2</t>
  </si>
  <si>
    <t>Protected - 3</t>
  </si>
  <si>
    <t>Protected - 4</t>
  </si>
  <si>
    <t>SM-Protected - 5</t>
  </si>
  <si>
    <t>SM-Protected - 6</t>
  </si>
  <si>
    <t>SM-Protected - 7</t>
  </si>
  <si>
    <t>Unprotected - 8</t>
  </si>
  <si>
    <t>Unprotected - 9</t>
  </si>
  <si>
    <t>Unprotected - 10</t>
  </si>
  <si>
    <t>FUS</t>
  </si>
  <si>
    <t>Property Rate</t>
  </si>
  <si>
    <t>Fire Rate</t>
  </si>
  <si>
    <t>Building Owner / Commercial (Restaurant)</t>
  </si>
  <si>
    <t>Building Owner / Commercial (Offices+retail)</t>
  </si>
  <si>
    <t>Indemnity Period</t>
  </si>
  <si>
    <t>12 Months</t>
  </si>
  <si>
    <t>18 Months</t>
  </si>
  <si>
    <t>24 Months</t>
  </si>
  <si>
    <t>36 Months</t>
  </si>
  <si>
    <t>ALS</t>
  </si>
  <si>
    <t>ALS B120</t>
  </si>
  <si>
    <t>Revenues</t>
  </si>
  <si>
    <t>Business Interruption</t>
  </si>
  <si>
    <t>Expected BI</t>
  </si>
  <si>
    <t>4470 boul. de la Grande-Allée, Boisbriand, QC J7K 3C1</t>
  </si>
  <si>
    <t>Building Owner / Semi-Commercial (Restaurants/Dry cleaner)</t>
  </si>
  <si>
    <t>Building Owner / Commercial (with Dry cleaner)</t>
  </si>
  <si>
    <t>Business with OPS</t>
  </si>
  <si>
    <t>GrossProfitMargin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</si>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</sst>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* #,##0_-;\-* #,##0_-;_-* &quot;-&quot;??_-;_-@_-"/>
    <numFmt numFmtId="165" formatCode="0.000%"/>
    <numFmt numFmtId="166" formatCode="0.0%"/>
    <numFmt numFmtId="167" formatCode="0.0000%"/>
    <numFmt numFmtId="168" formatCode="_-* #,##0.0000_-;\-* #,##0.0000_-;_-* &quot;-&quot;??_-;_-@_-"/>
    <numFmt numFmtId="169" formatCode="0.000000%"/>
    <numFmt numFmtId="170" formatCode="0.00000"/>
    <numFmt numFmtId="171" formatCode="0.00000%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rgb="FF000000"/>
      <name val="Calibri"/>
      <family val="2"/>
    </font>
    <font>
      <b/>
      <sz val="12"/>
      <name val="Tahoma"/>
      <family val="2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EFB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229">
    <xf numFmtId="0" fontId="0" fillId="0" borderId="0" xfId="0"/>
    <xf numFmtId="164" fontId="0" fillId="0" borderId="0" xfId="1" applyNumberFormat="1" applyFont="1"/>
    <xf numFmtId="3" fontId="0" fillId="0" borderId="0" xfId="0" applyNumberFormat="1"/>
    <xf numFmtId="165" fontId="0" fillId="0" borderId="0" xfId="0" applyNumberFormat="1"/>
    <xf numFmtId="0" fontId="5" fillId="0" borderId="0" xfId="0" applyFont="1"/>
    <xf numFmtId="0" fontId="5" fillId="0" borderId="0" xfId="0" applyFont="1" applyAlignment="1">
      <alignment horizontal="center" vertical="center" wrapText="1"/>
    </xf>
    <xf numFmtId="164" fontId="0" fillId="0" borderId="0" xfId="1" applyNumberFormat="1" applyFont="1" applyFill="1" applyBorder="1"/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64" fontId="0" fillId="0" borderId="0" xfId="1" applyNumberFormat="1" applyFont="1" applyBorder="1"/>
    <xf numFmtId="0" fontId="2" fillId="2" borderId="0" xfId="0" applyFont="1" applyFill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0" borderId="7" xfId="0" applyBorder="1"/>
    <xf numFmtId="164" fontId="0" fillId="0" borderId="7" xfId="1" applyNumberFormat="1" applyFont="1" applyBorder="1"/>
    <xf numFmtId="0" fontId="2" fillId="2" borderId="10" xfId="0" applyFont="1" applyFill="1" applyBorder="1" applyAlignment="1">
      <alignment horizontal="center"/>
    </xf>
    <xf numFmtId="0" fontId="0" fillId="0" borderId="10" xfId="0" applyBorder="1"/>
    <xf numFmtId="0" fontId="5" fillId="5" borderId="0" xfId="0" applyFont="1" applyFill="1"/>
    <xf numFmtId="0" fontId="5" fillId="5" borderId="0" xfId="0" applyFont="1" applyFill="1" applyAlignment="1">
      <alignment horizontal="center" vertical="center" wrapText="1"/>
    </xf>
    <xf numFmtId="0" fontId="0" fillId="0" borderId="12" xfId="0" applyBorder="1"/>
    <xf numFmtId="164" fontId="0" fillId="4" borderId="12" xfId="1" applyNumberFormat="1" applyFont="1" applyFill="1" applyBorder="1" applyAlignment="1">
      <alignment horizontal="center"/>
    </xf>
    <xf numFmtId="164" fontId="0" fillId="4" borderId="7" xfId="1" applyNumberFormat="1" applyFont="1" applyFill="1" applyBorder="1" applyAlignment="1">
      <alignment horizontal="center"/>
    </xf>
    <xf numFmtId="0" fontId="0" fillId="4" borderId="11" xfId="0" applyFill="1" applyBorder="1" applyAlignment="1" applyProtection="1">
      <alignment horizontal="center"/>
      <protection locked="0"/>
    </xf>
    <xf numFmtId="0" fontId="0" fillId="5" borderId="0" xfId="0" applyFill="1"/>
    <xf numFmtId="0" fontId="2" fillId="2" borderId="0" xfId="0" applyFont="1" applyFill="1" applyAlignment="1">
      <alignment vertical="center"/>
    </xf>
    <xf numFmtId="0" fontId="0" fillId="0" borderId="12" xfId="0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5" borderId="0" xfId="0" applyFill="1" applyAlignment="1">
      <alignment horizontal="center"/>
    </xf>
    <xf numFmtId="164" fontId="0" fillId="0" borderId="12" xfId="0" applyNumberFormat="1" applyBorder="1"/>
    <xf numFmtId="164" fontId="0" fillId="0" borderId="10" xfId="0" applyNumberFormat="1" applyBorder="1"/>
    <xf numFmtId="0" fontId="0" fillId="0" borderId="13" xfId="0" applyBorder="1" applyAlignment="1">
      <alignment horizontal="center"/>
    </xf>
    <xf numFmtId="0" fontId="0" fillId="0" borderId="13" xfId="0" applyBorder="1"/>
    <xf numFmtId="0" fontId="5" fillId="0" borderId="8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164" fontId="0" fillId="0" borderId="15" xfId="0" applyNumberFormat="1" applyBorder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164" fontId="0" fillId="4" borderId="4" xfId="1" applyNumberFormat="1" applyFont="1" applyFill="1" applyBorder="1" applyAlignment="1">
      <alignment horizontal="center"/>
    </xf>
    <xf numFmtId="164" fontId="0" fillId="4" borderId="6" xfId="1" applyNumberFormat="1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8" xfId="1" applyNumberFormat="1" applyFont="1" applyFill="1" applyBorder="1"/>
    <xf numFmtId="164" fontId="0" fillId="0" borderId="13" xfId="1" applyNumberFormat="1" applyFont="1" applyFill="1" applyBorder="1"/>
    <xf numFmtId="164" fontId="0" fillId="0" borderId="14" xfId="1" applyNumberFormat="1" applyFont="1" applyFill="1" applyBorder="1"/>
    <xf numFmtId="0" fontId="0" fillId="0" borderId="7" xfId="0" applyBorder="1" applyAlignment="1">
      <alignment horizontal="center"/>
    </xf>
    <xf numFmtId="164" fontId="0" fillId="0" borderId="12" xfId="1" applyNumberFormat="1" applyFont="1" applyFill="1" applyBorder="1"/>
    <xf numFmtId="164" fontId="0" fillId="0" borderId="10" xfId="1" applyNumberFormat="1" applyFont="1" applyFill="1" applyBorder="1"/>
    <xf numFmtId="164" fontId="0" fillId="0" borderId="12" xfId="1" applyNumberFormat="1" applyFont="1" applyFill="1" applyBorder="1" applyAlignment="1">
      <alignment horizontal="center"/>
    </xf>
    <xf numFmtId="164" fontId="0" fillId="0" borderId="15" xfId="1" applyNumberFormat="1" applyFont="1" applyFill="1" applyBorder="1"/>
    <xf numFmtId="164" fontId="0" fillId="0" borderId="4" xfId="1" applyNumberFormat="1" applyFont="1" applyFill="1" applyBorder="1" applyAlignment="1">
      <alignment horizontal="center"/>
    </xf>
    <xf numFmtId="164" fontId="0" fillId="0" borderId="0" xfId="0" applyNumberFormat="1"/>
    <xf numFmtId="164" fontId="0" fillId="0" borderId="4" xfId="0" applyNumberFormat="1" applyBorder="1"/>
    <xf numFmtId="164" fontId="0" fillId="0" borderId="6" xfId="1" applyNumberFormat="1" applyFont="1" applyBorder="1"/>
    <xf numFmtId="164" fontId="0" fillId="0" borderId="5" xfId="0" applyNumberFormat="1" applyBorder="1"/>
    <xf numFmtId="164" fontId="0" fillId="0" borderId="7" xfId="0" applyNumberFormat="1" applyBorder="1"/>
    <xf numFmtId="164" fontId="0" fillId="0" borderId="6" xfId="0" applyNumberFormat="1" applyBorder="1"/>
    <xf numFmtId="0" fontId="5" fillId="0" borderId="2" xfId="0" applyFont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43" fontId="0" fillId="5" borderId="0" xfId="1" applyFont="1" applyFill="1"/>
    <xf numFmtId="166" fontId="0" fillId="5" borderId="0" xfId="2" applyNumberFormat="1" applyFont="1" applyFill="1"/>
    <xf numFmtId="167" fontId="0" fillId="5" borderId="0" xfId="2" applyNumberFormat="1" applyFont="1" applyFill="1"/>
    <xf numFmtId="0" fontId="0" fillId="0" borderId="9" xfId="0" applyBorder="1" applyAlignment="1">
      <alignment horizontal="center"/>
    </xf>
    <xf numFmtId="164" fontId="0" fillId="3" borderId="3" xfId="1" applyNumberFormat="1" applyFont="1" applyFill="1" applyBorder="1" applyAlignment="1">
      <alignment horizontal="right"/>
    </xf>
    <xf numFmtId="164" fontId="1" fillId="3" borderId="11" xfId="1" applyNumberFormat="1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164" fontId="0" fillId="0" borderId="9" xfId="1" applyNumberFormat="1" applyFont="1" applyBorder="1" applyAlignment="1">
      <alignment horizontal="right" vertical="center"/>
    </xf>
    <xf numFmtId="0" fontId="0" fillId="0" borderId="9" xfId="0" applyBorder="1" applyAlignment="1">
      <alignment horizontal="center" vertical="center" wrapText="1"/>
    </xf>
    <xf numFmtId="168" fontId="0" fillId="0" borderId="0" xfId="1" applyNumberFormat="1" applyFont="1"/>
    <xf numFmtId="168" fontId="0" fillId="0" borderId="7" xfId="1" applyNumberFormat="1" applyFont="1" applyBorder="1"/>
    <xf numFmtId="168" fontId="0" fillId="0" borderId="0" xfId="1" applyNumberFormat="1" applyFont="1" applyBorder="1"/>
    <xf numFmtId="3" fontId="2" fillId="2" borderId="13" xfId="0" applyNumberFormat="1" applyFont="1" applyFill="1" applyBorder="1" applyAlignment="1">
      <alignment horizontal="center"/>
    </xf>
    <xf numFmtId="3" fontId="2" fillId="2" borderId="9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2" fillId="2" borderId="13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0" fontId="0" fillId="0" borderId="7" xfId="2" applyNumberFormat="1" applyFont="1" applyBorder="1"/>
    <xf numFmtId="0" fontId="0" fillId="0" borderId="7" xfId="0" applyBorder="1" applyAlignment="1">
      <alignment horizontal="left"/>
    </xf>
    <xf numFmtId="164" fontId="5" fillId="6" borderId="11" xfId="1" applyNumberFormat="1" applyFont="1" applyFill="1" applyBorder="1" applyAlignment="1">
      <alignment horizontal="center"/>
    </xf>
    <xf numFmtId="164" fontId="5" fillId="6" borderId="11" xfId="1" applyNumberFormat="1" applyFont="1" applyFill="1" applyBorder="1" applyAlignment="1">
      <alignment horizontal="right"/>
    </xf>
    <xf numFmtId="164" fontId="0" fillId="3" borderId="3" xfId="1" applyNumberFormat="1" applyFont="1" applyFill="1" applyBorder="1" applyAlignment="1">
      <alignment horizontal="center"/>
    </xf>
    <xf numFmtId="164" fontId="0" fillId="3" borderId="11" xfId="1" applyNumberFormat="1" applyFont="1" applyFill="1" applyBorder="1" applyAlignment="1">
      <alignment horizontal="right"/>
    </xf>
    <xf numFmtId="164" fontId="0" fillId="5" borderId="0" xfId="0" applyNumberFormat="1" applyFill="1"/>
    <xf numFmtId="0" fontId="0" fillId="4" borderId="0" xfId="0" applyFill="1" applyAlignment="1">
      <alignment horizontal="center"/>
    </xf>
    <xf numFmtId="0" fontId="9" fillId="7" borderId="0" xfId="3" applyFont="1" applyFill="1" applyAlignment="1">
      <alignment vertical="center"/>
    </xf>
    <xf numFmtId="0" fontId="9" fillId="7" borderId="0" xfId="3" applyFont="1" applyFill="1" applyAlignment="1">
      <alignment horizontal="center" vertical="center"/>
    </xf>
    <xf numFmtId="0" fontId="1" fillId="0" borderId="0" xfId="3"/>
    <xf numFmtId="0" fontId="1" fillId="7" borderId="0" xfId="3" applyFill="1" applyAlignment="1">
      <alignment vertical="center"/>
    </xf>
    <xf numFmtId="0" fontId="1" fillId="7" borderId="0" xfId="3" applyFill="1" applyAlignment="1">
      <alignment horizontal="center" vertical="center"/>
    </xf>
    <xf numFmtId="0" fontId="1" fillId="0" borderId="0" xfId="3" applyAlignment="1">
      <alignment horizontal="center"/>
    </xf>
    <xf numFmtId="164" fontId="0" fillId="4" borderId="10" xfId="1" applyNumberFormat="1" applyFont="1" applyFill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7" xfId="0" applyFont="1" applyBorder="1" applyAlignment="1">
      <alignment horizontal="center"/>
    </xf>
    <xf numFmtId="0" fontId="0" fillId="0" borderId="15" xfId="0" applyBorder="1"/>
    <xf numFmtId="0" fontId="11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" fillId="0" borderId="11" xfId="3" applyBorder="1"/>
    <xf numFmtId="164" fontId="0" fillId="4" borderId="0" xfId="1" applyNumberFormat="1" applyFont="1" applyFill="1" applyBorder="1" applyAlignment="1">
      <alignment horizontal="center"/>
    </xf>
    <xf numFmtId="164" fontId="0" fillId="4" borderId="15" xfId="1" applyNumberFormat="1" applyFont="1" applyFill="1" applyBorder="1" applyAlignment="1">
      <alignment horizontal="center"/>
    </xf>
    <xf numFmtId="169" fontId="0" fillId="0" borderId="10" xfId="2" applyNumberFormat="1" applyFont="1" applyBorder="1" applyAlignment="1">
      <alignment horizontal="center"/>
    </xf>
    <xf numFmtId="169" fontId="0" fillId="0" borderId="10" xfId="2" applyNumberFormat="1" applyFont="1" applyBorder="1"/>
    <xf numFmtId="169" fontId="0" fillId="0" borderId="15" xfId="2" applyNumberFormat="1" applyFont="1" applyBorder="1"/>
    <xf numFmtId="164" fontId="0" fillId="0" borderId="0" xfId="1" applyNumberFormat="1" applyFont="1" applyFill="1" applyBorder="1" applyAlignment="1">
      <alignment horizontal="center"/>
    </xf>
    <xf numFmtId="164" fontId="0" fillId="0" borderId="5" xfId="1" applyNumberFormat="1" applyFont="1" applyFill="1" applyBorder="1" applyAlignment="1">
      <alignment horizontal="center"/>
    </xf>
    <xf numFmtId="164" fontId="0" fillId="4" borderId="14" xfId="1" applyNumberFormat="1" applyFont="1" applyFill="1" applyBorder="1" applyAlignment="1">
      <alignment horizontal="center"/>
    </xf>
    <xf numFmtId="165" fontId="1" fillId="0" borderId="11" xfId="2" applyNumberFormat="1" applyFont="1" applyFill="1" applyBorder="1" applyAlignment="1">
      <alignment horizontal="right" vertical="center"/>
    </xf>
    <xf numFmtId="0" fontId="0" fillId="0" borderId="11" xfId="0" applyBorder="1" applyAlignment="1">
      <alignment horizontal="center"/>
    </xf>
    <xf numFmtId="0" fontId="2" fillId="8" borderId="0" xfId="0" applyFont="1" applyFill="1" applyAlignment="1">
      <alignment vertical="center"/>
    </xf>
    <xf numFmtId="164" fontId="0" fillId="0" borderId="10" xfId="0" applyNumberFormat="1" applyBorder="1" applyAlignment="1">
      <alignment horizontal="center"/>
    </xf>
    <xf numFmtId="0" fontId="2" fillId="8" borderId="0" xfId="0" applyFont="1" applyFill="1" applyAlignment="1">
      <alignment horizontal="center" vertical="center"/>
    </xf>
    <xf numFmtId="164" fontId="0" fillId="0" borderId="15" xfId="0" applyNumberFormat="1" applyBorder="1" applyAlignment="1">
      <alignment horizontal="center"/>
    </xf>
    <xf numFmtId="169" fontId="0" fillId="0" borderId="15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1" applyNumberFormat="1" applyFont="1" applyBorder="1" applyAlignment="1">
      <alignment horizontal="right"/>
    </xf>
    <xf numFmtId="164" fontId="0" fillId="4" borderId="8" xfId="1" applyNumberFormat="1" applyFont="1" applyFill="1" applyBorder="1" applyAlignment="1">
      <alignment horizontal="center"/>
    </xf>
    <xf numFmtId="164" fontId="0" fillId="4" borderId="9" xfId="1" applyNumberFormat="1" applyFont="1" applyFill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right"/>
    </xf>
    <xf numFmtId="164" fontId="0" fillId="0" borderId="1" xfId="1" applyNumberFormat="1" applyFont="1" applyFill="1" applyBorder="1" applyAlignment="1">
      <alignment horizontal="center"/>
    </xf>
    <xf numFmtId="164" fontId="0" fillId="0" borderId="3" xfId="1" applyNumberFormat="1" applyFont="1" applyFill="1" applyBorder="1" applyAlignment="1">
      <alignment horizontal="center"/>
    </xf>
    <xf numFmtId="170" fontId="0" fillId="0" borderId="7" xfId="0" applyNumberFormat="1" applyBorder="1"/>
    <xf numFmtId="0" fontId="5" fillId="0" borderId="10" xfId="0" applyFont="1" applyBorder="1" applyAlignment="1">
      <alignment horizontal="center" vertical="center" wrapText="1"/>
    </xf>
    <xf numFmtId="164" fontId="0" fillId="4" borderId="13" xfId="1" applyNumberFormat="1" applyFon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171" fontId="5" fillId="0" borderId="14" xfId="0" applyNumberFormat="1" applyFont="1" applyBorder="1" applyAlignment="1">
      <alignment horizontal="center" vertical="center" wrapText="1"/>
    </xf>
    <xf numFmtId="3" fontId="0" fillId="5" borderId="0" xfId="0" applyNumberFormat="1" applyFill="1" applyAlignment="1">
      <alignment horizontal="center" vertical="center"/>
    </xf>
    <xf numFmtId="3" fontId="0" fillId="5" borderId="0" xfId="0" applyNumberFormat="1" applyFill="1" applyAlignment="1">
      <alignment horizontal="center"/>
    </xf>
    <xf numFmtId="3" fontId="2" fillId="8" borderId="0" xfId="0" applyNumberFormat="1" applyFont="1" applyFill="1" applyAlignment="1">
      <alignment horizontal="center" vertical="center"/>
    </xf>
    <xf numFmtId="3" fontId="6" fillId="8" borderId="0" xfId="0" applyNumberFormat="1" applyFont="1" applyFill="1" applyAlignment="1">
      <alignment horizontal="center" vertical="center"/>
    </xf>
    <xf numFmtId="3" fontId="5" fillId="0" borderId="8" xfId="0" applyNumberFormat="1" applyFont="1" applyBorder="1" applyAlignment="1">
      <alignment horizontal="center" vertical="center" wrapText="1"/>
    </xf>
    <xf numFmtId="3" fontId="5" fillId="0" borderId="13" xfId="0" applyNumberFormat="1" applyFont="1" applyBorder="1" applyAlignment="1">
      <alignment horizontal="center" vertical="center" wrapText="1"/>
    </xf>
    <xf numFmtId="3" fontId="5" fillId="0" borderId="9" xfId="0" applyNumberFormat="1" applyFont="1" applyBorder="1" applyAlignment="1">
      <alignment horizontal="center" vertical="center" wrapText="1"/>
    </xf>
    <xf numFmtId="3" fontId="5" fillId="0" borderId="3" xfId="0" applyNumberFormat="1" applyFont="1" applyBorder="1" applyAlignment="1">
      <alignment horizontal="center" vertical="center" wrapText="1"/>
    </xf>
    <xf numFmtId="3" fontId="5" fillId="0" borderId="11" xfId="0" applyNumberFormat="1" applyFont="1" applyBorder="1" applyAlignment="1">
      <alignment horizontal="center" vertical="center" wrapText="1"/>
    </xf>
    <xf numFmtId="3" fontId="0" fillId="0" borderId="12" xfId="0" applyNumberFormat="1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3" fontId="0" fillId="0" borderId="7" xfId="0" applyNumberFormat="1" applyBorder="1" applyAlignment="1">
      <alignment horizontal="center"/>
    </xf>
    <xf numFmtId="3" fontId="0" fillId="0" borderId="7" xfId="1" applyNumberFormat="1" applyFon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4" xfId="0" applyNumberFormat="1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8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3" fontId="0" fillId="0" borderId="9" xfId="0" applyNumberFormat="1" applyBorder="1" applyAlignment="1">
      <alignment horizontal="center"/>
    </xf>
    <xf numFmtId="3" fontId="1" fillId="0" borderId="7" xfId="1" applyNumberFormat="1" applyFont="1" applyBorder="1" applyAlignment="1">
      <alignment horizontal="center"/>
    </xf>
    <xf numFmtId="169" fontId="1" fillId="0" borderId="10" xfId="2" applyNumberFormat="1" applyFon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164" fontId="0" fillId="0" borderId="14" xfId="1" applyNumberFormat="1" applyFont="1" applyFill="1" applyBorder="1" applyAlignment="1">
      <alignment horizontal="center"/>
    </xf>
    <xf numFmtId="164" fontId="0" fillId="0" borderId="10" xfId="1" applyNumberFormat="1" applyFont="1" applyFill="1" applyBorder="1" applyAlignment="1">
      <alignment horizontal="center"/>
    </xf>
    <xf numFmtId="171" fontId="0" fillId="5" borderId="0" xfId="0" applyNumberFormat="1" applyFill="1" applyAlignment="1">
      <alignment horizontal="center"/>
    </xf>
    <xf numFmtId="171" fontId="2" fillId="8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4" borderId="14" xfId="0" applyFont="1" applyFill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9" xfId="1" applyNumberFormat="1" applyFon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5" fontId="0" fillId="0" borderId="13" xfId="2" applyNumberFormat="1" applyFont="1" applyBorder="1" applyAlignment="1">
      <alignment horizontal="center"/>
    </xf>
    <xf numFmtId="171" fontId="0" fillId="0" borderId="14" xfId="2" applyNumberFormat="1" applyFont="1" applyBorder="1" applyAlignment="1">
      <alignment horizontal="center"/>
    </xf>
    <xf numFmtId="0" fontId="8" fillId="4" borderId="10" xfId="0" applyFont="1" applyFill="1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2" applyNumberFormat="1" applyFont="1" applyBorder="1" applyAlignment="1">
      <alignment horizontal="center"/>
    </xf>
    <xf numFmtId="171" fontId="0" fillId="0" borderId="10" xfId="2" applyNumberFormat="1" applyFont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164" fontId="0" fillId="0" borderId="6" xfId="1" applyNumberFormat="1" applyFont="1" applyBorder="1" applyAlignment="1">
      <alignment horizontal="center"/>
    </xf>
    <xf numFmtId="165" fontId="0" fillId="0" borderId="5" xfId="2" applyNumberFormat="1" applyFont="1" applyBorder="1" applyAlignment="1">
      <alignment horizontal="center"/>
    </xf>
    <xf numFmtId="171" fontId="0" fillId="0" borderId="15" xfId="2" applyNumberFormat="1" applyFont="1" applyBorder="1" applyAlignment="1">
      <alignment horizontal="center"/>
    </xf>
    <xf numFmtId="171" fontId="0" fillId="0" borderId="13" xfId="0" applyNumberFormat="1" applyBorder="1" applyAlignment="1">
      <alignment horizontal="center"/>
    </xf>
    <xf numFmtId="0" fontId="2" fillId="8" borderId="0" xfId="0" applyFont="1" applyFill="1" applyAlignment="1">
      <alignment horizontal="center"/>
    </xf>
    <xf numFmtId="0" fontId="5" fillId="0" borderId="10" xfId="0" applyFont="1" applyBorder="1" applyAlignment="1">
      <alignment horizontal="center" wrapText="1"/>
    </xf>
    <xf numFmtId="164" fontId="0" fillId="5" borderId="0" xfId="0" applyNumberFormat="1" applyFill="1" applyAlignment="1">
      <alignment horizontal="center"/>
    </xf>
    <xf numFmtId="167" fontId="0" fillId="5" borderId="0" xfId="2" applyNumberFormat="1" applyFont="1" applyFill="1" applyAlignment="1">
      <alignment horizontal="center"/>
    </xf>
    <xf numFmtId="166" fontId="0" fillId="5" borderId="0" xfId="2" applyNumberFormat="1" applyFont="1" applyFill="1" applyAlignment="1">
      <alignment horizontal="center"/>
    </xf>
    <xf numFmtId="171" fontId="0" fillId="0" borderId="0" xfId="2" applyNumberFormat="1" applyFont="1" applyFill="1" applyBorder="1"/>
    <xf numFmtId="171" fontId="0" fillId="0" borderId="0" xfId="0" applyNumberFormat="1"/>
    <xf numFmtId="171" fontId="2" fillId="2" borderId="13" xfId="0" applyNumberFormat="1" applyFont="1" applyFill="1" applyBorder="1" applyAlignment="1">
      <alignment horizontal="center"/>
    </xf>
    <xf numFmtId="9" fontId="2" fillId="2" borderId="9" xfId="0" applyNumberFormat="1" applyFont="1" applyFill="1" applyBorder="1" applyAlignment="1">
      <alignment horizontal="center"/>
    </xf>
    <xf numFmtId="0" fontId="0" fillId="10" borderId="12" xfId="0" applyFill="1" applyBorder="1"/>
    <xf numFmtId="9" fontId="0" fillId="0" borderId="7" xfId="2" applyFont="1" applyFill="1" applyBorder="1"/>
    <xf numFmtId="9" fontId="0" fillId="0" borderId="7" xfId="0" applyNumberFormat="1" applyBorder="1"/>
    <xf numFmtId="0" fontId="0" fillId="12" borderId="12" xfId="0" applyFill="1" applyBorder="1"/>
    <xf numFmtId="0" fontId="0" fillId="11" borderId="12" xfId="0" applyFill="1" applyBorder="1"/>
    <xf numFmtId="0" fontId="5" fillId="9" borderId="1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5" fillId="9" borderId="3" xfId="0" applyFont="1" applyFill="1" applyBorder="1" applyAlignment="1">
      <alignment horizontal="center"/>
    </xf>
    <xf numFmtId="3" fontId="5" fillId="9" borderId="1" xfId="0" applyNumberFormat="1" applyFont="1" applyFill="1" applyBorder="1" applyAlignment="1">
      <alignment horizontal="center"/>
    </xf>
    <xf numFmtId="3" fontId="5" fillId="9" borderId="2" xfId="0" applyNumberFormat="1" applyFont="1" applyFill="1" applyBorder="1" applyAlignment="1">
      <alignment horizontal="center"/>
    </xf>
    <xf numFmtId="3" fontId="5" fillId="9" borderId="3" xfId="0" applyNumberFormat="1" applyFont="1" applyFill="1" applyBorder="1" applyAlignment="1">
      <alignment horizontal="center"/>
    </xf>
    <xf numFmtId="0" fontId="5" fillId="9" borderId="4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9" borderId="11" xfId="0" applyFont="1" applyFill="1" applyBorder="1" applyAlignment="1">
      <alignment horizontal="center"/>
    </xf>
    <xf numFmtId="0" fontId="5" fillId="9" borderId="14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0" fillId="0" borderId="0" xfId="0" applyBorder="1"/>
    <xf numFmtId="0" fontId="2" fillId="2" borderId="0" xfId="0" applyFont="1" applyFill="1" applyBorder="1" applyAlignment="1">
      <alignment horizontal="center"/>
    </xf>
    <xf numFmtId="0" fontId="2" fillId="2" borderId="13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0" xfId="0" applyNumberFormat="1" applyFill="1" applyBorder="1"/>
  </cellXfs>
  <cellStyles count="4">
    <cellStyle name="Comma" xfId="1" builtinId="3"/>
    <cellStyle name="Normal" xfId="0" builtinId="0"/>
    <cellStyle name="Normal 3 87" xfId="3" xr:uid="{DB5A2A49-8B9F-4D43-981F-93D7AA138DB1}"/>
    <cellStyle name="Percent" xfId="2" builtinId="5"/>
  </cellStyles>
  <dxfs count="1"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00"/>
      <color rgb="FFFFEFBD"/>
      <color rgb="FFFFEAA7"/>
      <color rgb="FFFFE7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1</xdr:row>
          <xdr:rowOff>28575</xdr:rowOff>
        </xdr:from>
        <xdr:to>
          <xdr:col>30</xdr:col>
          <xdr:colOff>495300</xdr:colOff>
          <xdr:row>3</xdr:row>
          <xdr:rowOff>133350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PDF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22835-610C-4D01-9F27-8A34A1E92DDC}">
  <sheetPr codeName="Sheet1">
    <pageSetUpPr autoPageBreaks="0"/>
  </sheetPr>
  <dimension ref="B1:BL128"/>
  <sheetViews>
    <sheetView showGridLines="0" tabSelected="1" zoomScaleNormal="100" workbookViewId="0">
      <pane xSplit="5" topLeftCell="AQ1" activePane="topRight" state="frozenSplit"/>
      <selection activeCell="K137" sqref="K137"/>
      <selection pane="topRight" activeCell="AT137" sqref="AT137"/>
    </sheetView>
  </sheetViews>
  <sheetFormatPr defaultColWidth="8.7109375" defaultRowHeight="15" x14ac:dyDescent="0.25"/>
  <cols>
    <col min="1" max="2" width="1.7109375" style="22" customWidth="1"/>
    <col min="3" max="3" width="14.85546875" style="26" customWidth="1"/>
    <col min="4" max="4" width="10" style="26" hidden="1" customWidth="1"/>
    <col min="5" max="5" width="48.42578125" style="26" bestFit="1" customWidth="1"/>
    <col min="6" max="6" width="17.28515625" style="26" bestFit="1" customWidth="1"/>
    <col min="7" max="7" width="51.5703125" style="26" customWidth="1"/>
    <col min="8" max="9" width="12.85546875" style="26" customWidth="1"/>
    <col min="10" max="10" width="23.85546875" style="26" customWidth="1"/>
    <col min="11" max="17" width="19.140625" style="26" customWidth="1"/>
    <col min="18" max="18" width="13.5703125" style="26" customWidth="1"/>
    <col min="19" max="19" width="17.28515625" style="26" customWidth="1"/>
    <col min="20" max="20" width="9.140625" style="26" customWidth="1"/>
    <col min="21" max="21" width="17.140625" style="26" customWidth="1"/>
    <col min="22" max="22" width="1.7109375" style="26" customWidth="1"/>
    <col min="23" max="24" width="13.5703125" style="26" customWidth="1"/>
    <col min="25" max="26" width="22.7109375" style="26" customWidth="1"/>
    <col min="27" max="28" width="15.42578125" style="26" customWidth="1"/>
    <col min="29" max="33" width="13.5703125" style="26" customWidth="1"/>
    <col min="34" max="34" width="1.7109375" style="26" customWidth="1"/>
    <col min="35" max="38" width="13.5703125" style="26" customWidth="1"/>
    <col min="39" max="39" width="1.7109375" style="26" customWidth="1"/>
    <col min="40" max="40" width="15.28515625" style="26" customWidth="1"/>
    <col min="41" max="41" width="14.28515625" style="26" customWidth="1"/>
    <col min="42" max="42" width="1.7109375" style="26" customWidth="1"/>
    <col min="43" max="47" width="13.5703125" style="26" customWidth="1"/>
    <col min="48" max="48" width="13.5703125" style="161" customWidth="1"/>
    <col min="49" max="49" width="1.7109375" style="26" customWidth="1"/>
    <col min="50" max="50" width="9.42578125" style="132" customWidth="1"/>
    <col min="51" max="51" width="9" style="132" customWidth="1"/>
    <col min="52" max="52" width="12.85546875" style="132" customWidth="1"/>
    <col min="53" max="53" width="13.5703125" style="132" customWidth="1"/>
    <col min="54" max="54" width="11.85546875" style="133" customWidth="1"/>
    <col min="55" max="55" width="10.85546875" style="133" customWidth="1"/>
    <col min="56" max="56" width="12" style="133" customWidth="1"/>
    <col min="57" max="57" width="13" style="26" customWidth="1"/>
    <col min="58" max="58" width="13.5703125" style="26" customWidth="1"/>
    <col min="59" max="59" width="2" style="22" customWidth="1"/>
    <col min="60" max="60" width="8.7109375" style="22"/>
    <col min="61" max="61" width="14.28515625" style="22" customWidth="1"/>
    <col min="62" max="63" width="8.7109375" style="22" customWidth="1"/>
    <col min="64" max="16384" width="8.7109375" style="22"/>
  </cols>
  <sheetData>
    <row r="1" spans="2:64" ht="9.9499999999999993" customHeight="1" x14ac:dyDescent="0.25"/>
    <row r="2" spans="2:64" ht="15" customHeight="1" x14ac:dyDescent="0.25">
      <c r="B2" s="114"/>
      <c r="C2" s="203" t="s">
        <v>1268</v>
      </c>
      <c r="D2" s="203"/>
      <c r="E2" s="203"/>
      <c r="F2" s="154"/>
      <c r="G2" s="154"/>
      <c r="H2" s="154"/>
      <c r="I2" s="154"/>
      <c r="J2" s="154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81"/>
      <c r="AU2" s="116"/>
      <c r="AV2" s="162"/>
      <c r="AW2" s="116"/>
      <c r="AX2" s="134"/>
      <c r="AY2" s="134"/>
      <c r="AZ2" s="134"/>
      <c r="BA2" s="134"/>
      <c r="BB2" s="134"/>
      <c r="BC2" s="134"/>
      <c r="BD2" s="134"/>
      <c r="BE2" s="116"/>
      <c r="BF2" s="116"/>
      <c r="BG2" s="114"/>
    </row>
    <row r="3" spans="2:64" ht="15" customHeight="1" x14ac:dyDescent="0.25">
      <c r="B3" s="114"/>
      <c r="C3" s="203"/>
      <c r="D3" s="203"/>
      <c r="E3" s="203"/>
      <c r="F3" s="154"/>
      <c r="G3" s="154"/>
      <c r="H3" s="154"/>
      <c r="I3" s="154"/>
      <c r="J3" s="154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81"/>
      <c r="AU3" s="116"/>
      <c r="AV3" s="162"/>
      <c r="AW3" s="116"/>
      <c r="AX3" s="134"/>
      <c r="AY3" s="134"/>
      <c r="AZ3" s="134"/>
      <c r="BA3" s="134"/>
      <c r="BB3" s="134"/>
      <c r="BC3" s="134"/>
      <c r="BD3" s="134"/>
      <c r="BE3" s="116"/>
      <c r="BF3" s="116"/>
      <c r="BG3" s="114"/>
    </row>
    <row r="4" spans="2:64" ht="15" customHeight="1" x14ac:dyDescent="0.25">
      <c r="B4" s="114"/>
      <c r="C4" s="204"/>
      <c r="D4" s="204"/>
      <c r="E4" s="204"/>
      <c r="F4" s="154"/>
      <c r="G4" s="154"/>
      <c r="H4" s="154"/>
      <c r="I4" s="154"/>
      <c r="J4" s="154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6"/>
      <c r="X4" s="116"/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81"/>
      <c r="AU4" s="116"/>
      <c r="AV4" s="162"/>
      <c r="AW4" s="116"/>
      <c r="AX4" s="134"/>
      <c r="AY4" s="134"/>
      <c r="AZ4" s="134"/>
      <c r="BA4" s="134"/>
      <c r="BB4" s="134"/>
      <c r="BC4" s="134"/>
      <c r="BD4" s="135"/>
      <c r="BE4" s="116"/>
      <c r="BF4" s="116"/>
      <c r="BG4" s="114"/>
    </row>
    <row r="5" spans="2:64" x14ac:dyDescent="0.25">
      <c r="B5"/>
      <c r="C5" s="205" t="s">
        <v>0</v>
      </c>
      <c r="D5" s="206"/>
      <c r="E5" s="21">
        <v>1</v>
      </c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207"/>
      <c r="AR5" s="207"/>
      <c r="AS5" s="207"/>
      <c r="AT5" s="207"/>
      <c r="AU5" s="207"/>
      <c r="AV5" s="207"/>
      <c r="AW5" s="119"/>
      <c r="AX5" s="195"/>
      <c r="AY5" s="196"/>
      <c r="AZ5" s="196"/>
      <c r="BA5" s="196"/>
      <c r="BB5" s="196"/>
      <c r="BC5" s="196"/>
      <c r="BD5" s="196"/>
      <c r="BE5" s="196"/>
      <c r="BF5" s="197"/>
      <c r="BG5"/>
    </row>
    <row r="6" spans="2:64" s="16" customFormat="1" x14ac:dyDescent="0.25">
      <c r="B6" s="4"/>
      <c r="C6" s="195" t="s">
        <v>1</v>
      </c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7"/>
      <c r="V6" s="163"/>
      <c r="W6" s="208" t="s">
        <v>2</v>
      </c>
      <c r="X6" s="208"/>
      <c r="Y6" s="208"/>
      <c r="Z6" s="208"/>
      <c r="AA6" s="207"/>
      <c r="AB6" s="207"/>
      <c r="AC6" s="207"/>
      <c r="AD6" s="207"/>
      <c r="AE6" s="207"/>
      <c r="AF6" s="207"/>
      <c r="AG6" s="207"/>
      <c r="AH6" s="163"/>
      <c r="AI6" s="207" t="s">
        <v>3</v>
      </c>
      <c r="AJ6" s="207"/>
      <c r="AK6" s="207"/>
      <c r="AL6" s="207"/>
      <c r="AM6" s="163"/>
      <c r="AN6" s="195" t="s">
        <v>4</v>
      </c>
      <c r="AO6" s="197"/>
      <c r="AP6" s="163"/>
      <c r="AQ6" s="207" t="s">
        <v>5</v>
      </c>
      <c r="AR6" s="207"/>
      <c r="AS6" s="207"/>
      <c r="AT6" s="207" t="s">
        <v>6</v>
      </c>
      <c r="AU6" s="207"/>
      <c r="AV6" s="207"/>
      <c r="AW6" s="163"/>
      <c r="AX6" s="198" t="s">
        <v>34</v>
      </c>
      <c r="AY6" s="199"/>
      <c r="AZ6" s="199"/>
      <c r="BA6" s="199"/>
      <c r="BB6" s="199"/>
      <c r="BC6" s="199"/>
      <c r="BD6" s="200"/>
      <c r="BE6" s="201"/>
      <c r="BF6" s="202"/>
      <c r="BG6" s="4"/>
    </row>
    <row r="7" spans="2:64" s="17" customFormat="1" ht="44.1" customHeight="1" x14ac:dyDescent="0.25">
      <c r="B7" s="5"/>
      <c r="C7" s="39" t="s">
        <v>8</v>
      </c>
      <c r="D7" s="42" t="s">
        <v>9</v>
      </c>
      <c r="E7" s="40" t="s">
        <v>10</v>
      </c>
      <c r="F7" s="7" t="s">
        <v>11</v>
      </c>
      <c r="G7" s="7" t="s">
        <v>12</v>
      </c>
      <c r="H7" s="7" t="s">
        <v>1275</v>
      </c>
      <c r="I7" s="7" t="s">
        <v>1276</v>
      </c>
      <c r="J7" s="7" t="s">
        <v>13</v>
      </c>
      <c r="K7" s="5" t="s">
        <v>14</v>
      </c>
      <c r="L7" s="5" t="s">
        <v>1271</v>
      </c>
      <c r="M7" s="5" t="s">
        <v>1277</v>
      </c>
      <c r="N7" s="5" t="s">
        <v>1278</v>
      </c>
      <c r="O7" s="5" t="s">
        <v>1279</v>
      </c>
      <c r="P7" s="5" t="s">
        <v>1269</v>
      </c>
      <c r="Q7" s="5" t="s">
        <v>1305</v>
      </c>
      <c r="R7" s="5" t="s">
        <v>15</v>
      </c>
      <c r="S7" s="5" t="s">
        <v>1270</v>
      </c>
      <c r="T7" s="7" t="s">
        <v>17</v>
      </c>
      <c r="U7" s="8" t="s">
        <v>18</v>
      </c>
      <c r="V7" s="5"/>
      <c r="W7" s="39" t="s">
        <v>19</v>
      </c>
      <c r="X7" s="63" t="s">
        <v>20</v>
      </c>
      <c r="Y7" s="63" t="s">
        <v>21</v>
      </c>
      <c r="Z7" s="42" t="s">
        <v>1318</v>
      </c>
      <c r="AA7" s="33" t="s">
        <v>1317</v>
      </c>
      <c r="AB7" s="33" t="s">
        <v>1319</v>
      </c>
      <c r="AC7" s="33" t="s">
        <v>1316</v>
      </c>
      <c r="AD7" s="33" t="s">
        <v>1310</v>
      </c>
      <c r="AE7" s="33" t="s">
        <v>22</v>
      </c>
      <c r="AF7" s="33" t="s">
        <v>1286</v>
      </c>
      <c r="AG7" s="36" t="s">
        <v>1265</v>
      </c>
      <c r="AH7" s="5"/>
      <c r="AI7" s="34" t="s">
        <v>23</v>
      </c>
      <c r="AJ7" s="36" t="s">
        <v>22</v>
      </c>
      <c r="AK7" s="36" t="s">
        <v>1286</v>
      </c>
      <c r="AL7" s="36" t="s">
        <v>1265</v>
      </c>
      <c r="AM7" s="5"/>
      <c r="AN7" s="39" t="s">
        <v>24</v>
      </c>
      <c r="AO7" s="42" t="s">
        <v>25</v>
      </c>
      <c r="AP7" s="5"/>
      <c r="AQ7" s="34" t="s">
        <v>23</v>
      </c>
      <c r="AR7" s="5" t="s">
        <v>22</v>
      </c>
      <c r="AS7" s="128" t="s">
        <v>26</v>
      </c>
      <c r="AT7" s="182" t="s">
        <v>27</v>
      </c>
      <c r="AU7" s="35" t="s">
        <v>1306</v>
      </c>
      <c r="AV7" s="131" t="s">
        <v>1307</v>
      </c>
      <c r="AW7" s="5"/>
      <c r="AX7" s="136" t="s">
        <v>1266</v>
      </c>
      <c r="AY7" s="137" t="s">
        <v>43</v>
      </c>
      <c r="AZ7" s="137" t="s">
        <v>44</v>
      </c>
      <c r="BA7" s="138" t="s">
        <v>1265</v>
      </c>
      <c r="BB7" s="138" t="s">
        <v>29</v>
      </c>
      <c r="BC7" s="139" t="s">
        <v>22</v>
      </c>
      <c r="BD7" s="140" t="s">
        <v>26</v>
      </c>
      <c r="BE7" s="40" t="s">
        <v>27</v>
      </c>
      <c r="BF7" s="40" t="s">
        <v>1306</v>
      </c>
      <c r="BG7" s="5"/>
    </row>
    <row r="8" spans="2:64" s="26" customFormat="1" ht="15.75" x14ac:dyDescent="0.25">
      <c r="B8" s="119"/>
      <c r="C8" s="24">
        <v>1</v>
      </c>
      <c r="D8" s="25" t="s">
        <v>30</v>
      </c>
      <c r="E8" s="164" t="s">
        <v>1320</v>
      </c>
      <c r="F8" s="89" t="s">
        <v>98</v>
      </c>
      <c r="G8" s="89" t="s">
        <v>76</v>
      </c>
      <c r="H8" s="104">
        <v>0</v>
      </c>
      <c r="I8" s="104">
        <v>1</v>
      </c>
      <c r="J8" s="89" t="s">
        <v>82</v>
      </c>
      <c r="K8" s="130" t="s">
        <v>89</v>
      </c>
      <c r="L8" s="130" t="s">
        <v>66</v>
      </c>
      <c r="M8" s="130" t="s">
        <v>66</v>
      </c>
      <c r="N8" s="130" t="s">
        <v>66</v>
      </c>
      <c r="O8" s="130" t="s">
        <v>66</v>
      </c>
      <c r="P8" s="129" t="s">
        <v>69</v>
      </c>
      <c r="Q8" s="129" t="s">
        <v>1295</v>
      </c>
      <c r="R8" s="130" t="s">
        <v>69</v>
      </c>
      <c r="S8" s="130" t="s">
        <v>69</v>
      </c>
      <c r="T8" s="89" t="s">
        <v>69</v>
      </c>
      <c r="U8" s="25" t="s">
        <v>63</v>
      </c>
      <c r="V8" s="119"/>
      <c r="W8" s="19"/>
      <c r="X8" s="104">
        <v>750000</v>
      </c>
      <c r="Y8" s="104"/>
      <c r="Z8" s="104">
        <v>5400000</v>
      </c>
      <c r="AA8" s="121">
        <v>6000000</v>
      </c>
      <c r="AB8" s="159">
        <f>IF(OR(AA8="",G8=""),"",VLOOKUP(G8,'Rating Factors'!$C:$E,3,FALSE)*AA8)*IFERROR(VLOOKUP(AD8,'Rating Factors'!$BS:$BT,2,FALSE),1)</f>
        <v>5400000</v>
      </c>
      <c r="AC8" s="122" t="s">
        <v>62</v>
      </c>
      <c r="AD8" s="122" t="s">
        <v>1312</v>
      </c>
      <c r="AE8" s="129">
        <v>5000000</v>
      </c>
      <c r="AF8" s="111" t="s">
        <v>90</v>
      </c>
      <c r="AG8" s="122">
        <v>100000</v>
      </c>
      <c r="AH8" s="119"/>
      <c r="AI8" s="121">
        <v>5000</v>
      </c>
      <c r="AJ8" s="121">
        <v>5000</v>
      </c>
      <c r="AK8" s="121">
        <v>10000</v>
      </c>
      <c r="AL8" s="111">
        <v>10000</v>
      </c>
      <c r="AM8" s="119"/>
      <c r="AN8" s="121" t="s">
        <v>62</v>
      </c>
      <c r="AO8" s="122" t="s">
        <v>62</v>
      </c>
      <c r="AP8" s="119"/>
      <c r="AQ8" s="165">
        <f>IF(OR(AX8="Declined",N(AX8)=0),
  0,
  N(AX8)+SUM(N(AY8),N(AZ8),N(BA8))
)</f>
        <v>23667.133842772917</v>
      </c>
      <c r="AR8" s="166">
        <f>IF(OR(Z8="",N(Z8)=0),
IF(
N(H8)+N(I8)=0,
0,
MAX(
IFERROR(VLOOKUP(AE8,'Rating Factors'!$BJ:$BK,2,FALSE),0),
((N(H8)*'Rating Factors'!$BF$2)+(N(I8)*'Rating Factors'!$BG$2))
*IFERROR(VLOOKUP(AE8,'Rating Factors'!$Z:$AA,2,FALSE),1)
*IFERROR(VLOOKUP(AJ8,'Rating Factors'!$AD:$AE,2,FALSE),1)
*IFERROR(VLOOKUP(SUM($H$8:$H$127),'Rating Factors'!$BM:$BN,2),1)
*IFERROR(VLOOKUP(SUM($I$8:$I$127),'Rating Factors'!$BH:$BI,2),1)
)
),
MAX(IFERROR(VLOOKUP(AE8,'Rating Factors'!$BJ:$BL,3,FALSE),0),
((N(I8)*'Rating Factors'!$BG$2))
*IFERROR(VLOOKUP(AE8,'Rating Factors'!$Z:$AA,2,FALSE),1)
*IFERROR(VLOOKUP(AJ8,'Rating Factors'!$AD:$AE,2,FALSE),1)
*N(AA8)* IFERROR(VLOOKUP(G8,'Rating Factors'!$C:$D,2,FALSE),1)*0.0045
))</f>
        <v>6058.7999999999993</v>
      </c>
      <c r="AS8" s="167">
        <f>SUM(AQ8:AR8)</f>
        <v>29725.933842772916</v>
      </c>
      <c r="AT8" s="165">
        <f>SUM(W8:Z8)</f>
        <v>6150000</v>
      </c>
      <c r="AU8" s="168">
        <f>IF(AQ8=0, "", IF(AT8=0,"",AQ8/AT8))</f>
        <v>3.8483144459793362E-3</v>
      </c>
      <c r="AV8" s="169">
        <f>IF(OR(AX8="Declined", AX8=0), "", AX8/AT8)</f>
        <v>3.4739242020768971E-3</v>
      </c>
      <c r="AW8" s="119"/>
      <c r="AX8" s="151">
        <f>IF(
  OR(
    IFERROR(VLOOKUP(F8,'Rating Factors'!$A:$B,2,FALSE)="Decline",FALSE),
    IFERROR(VLOOKUP(G8,'Rating Factors'!$C:$D,2,FALSE)="Decline",FALSE),
    IFERROR(VLOOKUP(J8,'Rating Factors'!$F:$G,2,FALSE)="Decline",FALSE),
    IFERROR(VLOOKUP(K8,'Rating Factors'!$H:$I,2,FALSE)="Decline",FALSE),
    IFERROR(VLOOKUP(L8,'Rating Factors'!$J:$K,2,FALSE)="Decline",FALSE),
    IFERROR(VLOOKUP(M8,'Rating Factors'!$L:$M,2,FALSE)="Decline",FALSE),
    IFERROR(VLOOKUP(N8,'Rating Factors'!$N:$O,2,FALSE)="Decline",FALSE),
    IFERROR(VLOOKUP(O8,'Rating Factors'!$P:$Q,2,FALSE)="Decline",FALSE),
    IFERROR(VLOOKUP(P8,'Rating Factors'!$BO:$BP,2,FALSE)="Decline",FALSE),
    IFERROR(VLOOKUP(Q8,'Rating Factors'!$BQ:$BR,2,FALSE)="Decline",FALSE),
    IFERROR(VLOOKUP(R8,'Rating Factors'!$R:$S,2,FALSE)="Decline",FALSE),
    IFERROR(VLOOKUP(S8,'Rating Factors'!$T:$U,2,FALSE)="Decline",FALSE),
    IFERROR(VLOOKUP(T8,'Rating Factors'!$V:$W,2,FALSE)="Decline",FALSE),
    IFERROR(VLOOKUP(U8,'Rating Factors'!$X:$Y,2,FALSE)="Decline",FALSE),
    IFERROR(VLOOKUP(AI8,'Rating Factors'!$AB:$AC,2,FALSE)="Decline",FALSE),
    IFERROR(VLOOKUP(AK8,'Rating Factors'!$AK:$AL,2,FALSE)="Decline",FALSE),
    IFERROR(VLOOKUP(AL8,'Rating Factors'!$AP:$AQ,2,FALSE)="Decline",FALSE)
  ),
  "Declined",
  SUM(
    W8,
    X8,
    Y8*
      IFERROR(VLOOKUP(AD8,'Rating Factors'!$BS:$BT,2,FALSE),1),
    Z8*
      IFERROR(VLOOKUP(AC8,'Rating Factors'!$BV:$BW,2,FALSE),1)* IFERROR(VLOOKUP(AD8,'Rating Factors'!$BS:$BU,3,FALSE),1),
  )
  * IFERROR(VLOOKUP(F8,'Rating Factors'!$A:$B,2,FALSE),1)
  * IFERROR(VLOOKUP(G8,'Rating Factors'!$C:$D,2,FALSE),1)
  * IFERROR(VLOOKUP(J8,'Rating Factors'!$F:$G,2,FALSE),1)
  * IFERROR(VLOOKUP(K8,'Rating Factors'!$H:$I,2,FALSE),1)
  * IFERROR(VLOOKUP(L8,'Rating Factors'!$J:$K,2,FALSE),1)
  * IFERROR(VLOOKUP(M8,'Rating Factors'!$L:$M,2,FALSE),1)
  * IFERROR(VLOOKUP(N8,'Rating Factors'!$N:$O,2,FALSE),1)
  * IFERROR(VLOOKUP(O8,'Rating Factors'!$P:$Q,2,FALSE),1)
  * IFERROR(VLOOKUP(P8,'Rating Factors'!$BO:$BP,2,FALSE),1)
  * IFERROR(VLOOKUP(Q8,'Rating Factors'!$BQ:$BR,2,FALSE),1)
  * IFERROR(VLOOKUP(R8,'Rating Factors'!$R:$S,2,FALSE),1)
  * IFERROR(VLOOKUP(S8,'Rating Factors'!$T:$U,2,FALSE),1)
  * IFERROR(VLOOKUP(T8,'Rating Factors'!$V:$W,2,FALSE),1)
  * IFERROR(VLOOKUP(U8,'Rating Factors'!$X:$Y,2,FALSE),1)
  * IFERROR(VLOOKUP(AI8,'Rating Factors'!$AB:$AC,2,FALSE),1)
  * IFERROR(VLOOKUP(AK8,'Rating Factors'!$AK:$AL,2,FALSE),1)
  * IFERROR(VLOOKUP(AL8,'Rating Factors'!$AP:$AQ,2,FALSE),1)
  * IFERROR(LOOKUP(SUM($W$8:$Z$127),'Rating Factors'!$BD:$BD,'Rating Factors'!$BE:$BE),1))</f>
        <v>21364.633842772917</v>
      </c>
      <c r="AY8" s="152">
        <f>IF(OR(AX8="Declined", AN8&lt;&gt;"Y"),
   0,
   N(AT8)*N('Rating Factors'!$AG$2)/100
)</f>
        <v>615</v>
      </c>
      <c r="AZ8" s="152">
        <f>IF(OR(AX8="Declined", AO8&lt;&gt;"Y", E8=""),
   0,
   N(AT8)*N(BK8)/100
)</f>
        <v>1537.5</v>
      </c>
      <c r="BA8" s="153">
        <f>_xlfn.LET(
  _xlpm.base_ok, AND(AX8&lt;&gt;"Declined", N(AX8)&gt;0),
  _xlpm.is_full, EXACT(AG8, "Full Limit"),
  _xlpm.total_tiv, SUM($AT$8:$AT$127),
  _xlpm.loc_tiv, N(BE8),
  _xlpm.full_rate, N('Rating Factors'!$AO$10),
  _xlpm.min_per_loc, N('Rating Factors'!$AN$10),
  _xlpm.n_locs, N(E5),
  _xlpm.sched_prem, MAX(_xlpm.total_tiv*_xlpm.full_rate, _xlpm.min_per_loc*_xlpm.n_locs),
  _xlpm.alloc_prem, IF(_xlpm.total_tiv=0, 0, _xlpm.sched_prem * _xlpm.loc_tiv / _xlpm.total_tiv),
  _xlpm.cap_prem, IFERROR(VLOOKUP(AG8, 'Rating Factors'!$AM:$AN, 2, FALSE), 0),
  IF(_xlpm.base_ok,
     IF(_xlpm.is_full, _xlpm.alloc_prem, _xlpm.cap_prem),
     0
  )
)</f>
        <v>150</v>
      </c>
      <c r="BB8" s="155">
        <f t="shared" ref="BB8:BB39" si="0">SUM(AX8:BA8)</f>
        <v>23667.133842772917</v>
      </c>
      <c r="BC8" s="156">
        <f>AR8</f>
        <v>6058.7999999999993</v>
      </c>
      <c r="BD8" s="145">
        <f>BB8+BC8</f>
        <v>29725.933842772916</v>
      </c>
      <c r="BE8" s="115">
        <f t="shared" ref="BE8:BE39" si="1">AT8</f>
        <v>6150000</v>
      </c>
      <c r="BF8" s="157">
        <f>IF(BE8=0,"",BB8/BE8)</f>
        <v>3.8483144459793362E-3</v>
      </c>
      <c r="BG8" s="119"/>
      <c r="BH8" s="183"/>
      <c r="BI8" s="184" t="str" cm="1">
        <f t="array" ref="BI8">IF(E8="","",LEFT(_xlfn.REGEXEXTRACT(UPPER(E8),"[A-Z][0-9][A-Z][ -]?[0-9][A-Z][0-9]"),3))</f>
        <v>J7K</v>
      </c>
      <c r="BJ8" s="185" t="str">
        <f>IF(E8="","",_xlfn.XLOOKUP(BI8, CrestaP!B:B, CrestaP!D:D, ""))</f>
        <v>E4</v>
      </c>
      <c r="BK8" s="185">
        <f>IFERROR(
  INDEX(
    CrestaP!H4:M9,
    MATCH(J8, {"Frame/Vinyl","Brick Veneer","Joisted Masonry","Non-Combustible","Masonry Non-Combustible","Fire resistive"}, 0),
    MATCH(TEXT(BJ8,"@"), {"16","E5","E4","E3","E2","E1"}, 0)
  ),
  ""
)</f>
        <v>2.5000000000000001E-2</v>
      </c>
      <c r="BL8" s="185"/>
    </row>
    <row r="9" spans="2:64" ht="15.75" hidden="1" x14ac:dyDescent="0.25">
      <c r="B9"/>
      <c r="C9" s="24">
        <f>C8+1</f>
        <v>2</v>
      </c>
      <c r="D9" s="25" t="s">
        <v>30</v>
      </c>
      <c r="E9" s="170"/>
      <c r="F9" s="89"/>
      <c r="G9" s="89"/>
      <c r="H9" s="104"/>
      <c r="I9" s="104"/>
      <c r="J9" s="89"/>
      <c r="K9" s="89"/>
      <c r="L9" s="89"/>
      <c r="M9" s="89"/>
      <c r="N9" s="89"/>
      <c r="O9" s="89"/>
      <c r="P9" s="104"/>
      <c r="Q9" s="104"/>
      <c r="R9" s="89"/>
      <c r="S9" s="89"/>
      <c r="T9" s="89"/>
      <c r="U9" s="25"/>
      <c r="V9" s="119"/>
      <c r="W9" s="19"/>
      <c r="X9" s="104"/>
      <c r="Y9" s="104"/>
      <c r="Z9" s="104"/>
      <c r="AA9" s="19"/>
      <c r="AB9" s="160"/>
      <c r="AC9" s="20"/>
      <c r="AD9" s="20"/>
      <c r="AE9" s="104"/>
      <c r="AF9" s="96"/>
      <c r="AG9" s="20"/>
      <c r="AH9" s="119"/>
      <c r="AI9" s="19"/>
      <c r="AJ9" s="19"/>
      <c r="AK9" s="19"/>
      <c r="AL9" s="96"/>
      <c r="AM9" s="119"/>
      <c r="AN9" s="19"/>
      <c r="AO9" s="20"/>
      <c r="AP9" s="119"/>
      <c r="AQ9" s="115">
        <f t="shared" ref="AQ9:AQ72" si="2">IF(OR(AX9="Declined",N(AX9)=0),
  0,
  N(AX9)+SUM(N(AY9),N(AZ9),N(BA9))
)</f>
        <v>0</v>
      </c>
      <c r="AR9" s="171">
        <f>IF(OR(Z9="",N(Z9)=0),
IF(
N(H9)+N(I9)=0,
0,
MAX(
IFERROR(VLOOKUP(AE9,'Rating Factors'!$BJ:$BK,2,FALSE),0),
((N(H9)*'Rating Factors'!$BF$2)+(N(I9)*'Rating Factors'!$BG$2))
*IFERROR(VLOOKUP(AE9,'Rating Factors'!$Z:$AA,2,FALSE),1)
*IFERROR(VLOOKUP(AJ9,'Rating Factors'!$AD:$AE,2,FALSE),1)
*IFERROR(VLOOKUP(SUM($H$8:$H$127),'Rating Factors'!$BM:$BN,2),1)
*IFERROR(VLOOKUP(SUM($I$8:$I$127),'Rating Factors'!$BH:$BI,2),1)
)
),
MAX(IFERROR(VLOOKUP(AE9,'Rating Factors'!$BJ:$BL,3,FALSE),0),
((N(I9)*'Rating Factors'!$BG$2))
*IFERROR(VLOOKUP(AE9,'Rating Factors'!$Z:$AA,2,FALSE),1)
*IFERROR(VLOOKUP(AJ9,'Rating Factors'!$AD:$AE,2,FALSE),1)
*N(AA9)* IFERROR(VLOOKUP(G9,'Rating Factors'!$C:$D,2,FALSE),1)*0.0045
))</f>
        <v>0</v>
      </c>
      <c r="AS9" s="172">
        <f t="shared" ref="AS9:AS72" si="3">SUM(AQ9:AR9)</f>
        <v>0</v>
      </c>
      <c r="AT9" s="115">
        <f>SUM(W9:Z9)</f>
        <v>0</v>
      </c>
      <c r="AU9" s="173" t="str">
        <f t="shared" ref="AU9:AU72" si="4">IF(AQ9=0, "", IF(AT9=0,"",AQ9/AT9))</f>
        <v/>
      </c>
      <c r="AV9" s="174" t="str">
        <f t="shared" ref="AV9:AV72" si="5">IF(OR(AX9="Declined", AX9=0), "", AX9/AT9)</f>
        <v/>
      </c>
      <c r="AW9" s="119"/>
      <c r="AX9" s="141">
        <f>IF(
  OR(
    IFERROR(VLOOKUP(F9,'Rating Factors'!$A:$B,2,FALSE)="Decline",FALSE),
    IFERROR(VLOOKUP(G9,'Rating Factors'!$C:$D,2,FALSE)="Decline",FALSE),
    IFERROR(VLOOKUP(J9,'Rating Factors'!$F:$G,2,FALSE)="Decline",FALSE),
    IFERROR(VLOOKUP(K9,'Rating Factors'!$H:$I,2,FALSE)="Decline",FALSE),
    IFERROR(VLOOKUP(L9,'Rating Factors'!$J:$K,2,FALSE)="Decline",FALSE),
    IFERROR(VLOOKUP(M9,'Rating Factors'!$L:$M,2,FALSE)="Decline",FALSE),
    IFERROR(VLOOKUP(N9,'Rating Factors'!$N:$O,2,FALSE)="Decline",FALSE),
    IFERROR(VLOOKUP(O9,'Rating Factors'!$P:$Q,2,FALSE)="Decline",FALSE),
    IFERROR(VLOOKUP(P9,'Rating Factors'!$BO:$BP,2,FALSE)="Decline",FALSE),
    IFERROR(VLOOKUP(Q9,'Rating Factors'!$BQ:$BR,2,FALSE)="Decline",FALSE),
    IFERROR(VLOOKUP(R9,'Rating Factors'!$R:$S,2,FALSE)="Decline",FALSE),
    IFERROR(VLOOKUP(S9,'Rating Factors'!$T:$U,2,FALSE)="Decline",FALSE),
    IFERROR(VLOOKUP(T9,'Rating Factors'!$V:$W,2,FALSE)="Decline",FALSE),
    IFERROR(VLOOKUP(U9,'Rating Factors'!$X:$Y,2,FALSE)="Decline",FALSE),
    IFERROR(VLOOKUP(AI9,'Rating Factors'!$AB:$AC,2,FALSE)="Decline",FALSE),
    IFERROR(VLOOKUP(AK9,'Rating Factors'!$AK:$AL,2,FALSE)="Decline",FALSE),
    IFERROR(VLOOKUP(AL9,'Rating Factors'!$AP:$AQ,2,FALSE)="Decline",FALSE)
  ),
  "Declined",
  SUM(
    W9,
    X9,
    Y9*
      IFERROR(VLOOKUP(AD9,'Rating Factors'!$BS:$BT,2,FALSE),1),
    Z9*
      IFERROR(VLOOKUP(AD9,'Rating Factors'!$BS:$BT,2,FALSE),1)*
      IFERROR(VLOOKUP(AC9,'Rating Factors'!$BV:$BW,2,FALSE),1),
  )
  * IFERROR(VLOOKUP(F9,'Rating Factors'!$A:$B,2,FALSE),1)
  * IFERROR(VLOOKUP(G9,'Rating Factors'!$C:$D,2,FALSE),1)
  * IFERROR(VLOOKUP(J9,'Rating Factors'!$F:$G,2,FALSE),1)
  * IFERROR(VLOOKUP(K9,'Rating Factors'!$H:$I,2,FALSE),1)
  * IFERROR(VLOOKUP(L9,'Rating Factors'!$J:$K,2,FALSE),1)
  * IFERROR(VLOOKUP(M9,'Rating Factors'!$L:$M,2,FALSE),1)
  * IFERROR(VLOOKUP(N9,'Rating Factors'!$N:$O,2,FALSE),1)
  * IFERROR(VLOOKUP(O9,'Rating Factors'!$P:$Q,2,FALSE),1)
  * IFERROR(VLOOKUP(P9,'Rating Factors'!$BO:$BP,2,FALSE),1)
  * IFERROR(VLOOKUP(Q9,'Rating Factors'!$BQ:$BR,2,FALSE),1)
  * IFERROR(VLOOKUP(R9,'Rating Factors'!$R:$S,2,FALSE),1)
  * IFERROR(VLOOKUP(S9,'Rating Factors'!$T:$U,2,FALSE),1)
  * IFERROR(VLOOKUP(T9,'Rating Factors'!$V:$W,2,FALSE),1)
  * IFERROR(VLOOKUP(U9,'Rating Factors'!$X:$Y,2,FALSE),1)
  * IFERROR(VLOOKUP(AI9,'Rating Factors'!$AB:$AC,2,FALSE),1)
  * IFERROR(VLOOKUP(AK9,'Rating Factors'!$AK:$AL,2,FALSE),1)
  * IFERROR(VLOOKUP(AL9,'Rating Factors'!$AP:$AQ,2,FALSE),1)
  * IFERROR(LOOKUP(SUM($W$8:$Z$127),'Rating Factors'!$BD:$BD,'Rating Factors'!$BE:$BE),1))</f>
        <v>0</v>
      </c>
      <c r="AY9" s="158">
        <f>IF(OR(AQ9="Declined", AN9&lt;&gt;"Y"),
   0,
   N(AT9)*N('Rating Factors'!$AG$2)/100
)</f>
        <v>0</v>
      </c>
      <c r="AZ9" s="158">
        <f t="shared" ref="AZ9:AZ40" si="6">IF(OR(AQ9="Declined", AO9&lt;&gt;"Y", E9=""),
   0,
   N(AT9)*N(BK9)/100
)</f>
        <v>0</v>
      </c>
      <c r="BA9" s="142">
        <f>_xlfn.LET(
  _xlpm.base_ok, AND(AQ9&lt;&gt;"Declined", N(AQ9)&gt;0),
  _xlpm.is_full, EXACT(AG9, "Full Limit"),
  _xlpm.total_tiv, SUM($AT$8:$AT$127),
  _xlpm.loc_tiv, N(BE9),
  _xlpm.full_rate, N('Rating Factors'!$AO$10),
  _xlpm.min_per_loc, N('Rating Factors'!$AN$10),
  _xlpm.n_locs, N(E6),
  _xlpm.sched_prem, MAX(_xlpm.total_tiv*_xlpm.full_rate, _xlpm.min_per_loc*_xlpm.n_locs),
  _xlpm.alloc_prem, IF(_xlpm.total_tiv=0, 0, _xlpm.sched_prem * _xlpm.loc_tiv / _xlpm.total_tiv),
  _xlpm.cap_prem, IFERROR(VLOOKUP(AG9, 'Rating Factors'!$AM:$AN, 2, FALSE), 0),
  IF(_xlpm.base_ok,
     IF(_xlpm.is_full, _xlpm.alloc_prem, _xlpm.cap_prem),
     0
  )
)</f>
        <v>0</v>
      </c>
      <c r="BB9" s="143">
        <f t="shared" si="0"/>
        <v>0</v>
      </c>
      <c r="BC9" s="144">
        <f t="shared" ref="BC9:BC72" si="7">AR9</f>
        <v>0</v>
      </c>
      <c r="BD9" s="145">
        <f t="shared" ref="BD9:BD72" si="8">BB9+BC9</f>
        <v>0</v>
      </c>
      <c r="BE9" s="115">
        <f t="shared" si="1"/>
        <v>0</v>
      </c>
      <c r="BF9" s="106" t="str">
        <f t="shared" ref="BF9:BF72" si="9">IF(BE9=0,"",BB9/BE9)</f>
        <v/>
      </c>
      <c r="BG9"/>
      <c r="BH9" s="88"/>
      <c r="BI9" s="67" t="str" cm="1">
        <f t="array" ref="BI9">IF(E9="","",LEFT(_xlfn.REGEXEXTRACT(UPPER(E9),"[A-Z][0-9][A-Z][ -]?[0-9][A-Z][0-9]"),3))</f>
        <v/>
      </c>
      <c r="BJ9" s="66" t="str">
        <f>IF(E9="","",_xlfn.XLOOKUP(BI9, CrestaP!B:B, CrestaP!D:D, ""))</f>
        <v/>
      </c>
      <c r="BK9" s="66" t="str">
        <f>IFERROR(
  INDEX(
    CrestaP!H4:M9,
    MATCH(J9, {"Frame","Brick Veneer","Joisted Masonry","Non-Combustible","Masonry Non-Combustible","Fire resistive"}, 0),
    MATCH(TEXT(BJ9,"@"), {"16","E5","E4","E3","E2","E1"}, 0)
  ),
  ""
)</f>
        <v/>
      </c>
      <c r="BL9" s="66"/>
    </row>
    <row r="10" spans="2:64" hidden="1" x14ac:dyDescent="0.25">
      <c r="B10"/>
      <c r="C10" s="24">
        <f t="shared" ref="C10:C73" si="10">C9+1</f>
        <v>3</v>
      </c>
      <c r="D10" s="25" t="s">
        <v>30</v>
      </c>
      <c r="E10" s="175"/>
      <c r="F10" s="89"/>
      <c r="G10" s="89"/>
      <c r="H10" s="104"/>
      <c r="I10" s="104"/>
      <c r="J10" s="89"/>
      <c r="K10" s="89"/>
      <c r="L10" s="89"/>
      <c r="M10" s="89"/>
      <c r="N10" s="89"/>
      <c r="O10" s="89"/>
      <c r="P10" s="104"/>
      <c r="Q10" s="104"/>
      <c r="R10" s="89"/>
      <c r="S10" s="89"/>
      <c r="T10" s="89"/>
      <c r="U10" s="25"/>
      <c r="V10" s="119"/>
      <c r="W10" s="19"/>
      <c r="X10" s="104"/>
      <c r="Y10" s="104"/>
      <c r="Z10" s="104"/>
      <c r="AA10" s="19"/>
      <c r="AB10" s="160" t="str">
        <f>IF(OR(AA10="",G10=""),"",VLOOKUP(G10,'Rating Factors'!$C:$E,3,FALSE)*AA10)</f>
        <v/>
      </c>
      <c r="AC10" s="20"/>
      <c r="AD10" s="20"/>
      <c r="AE10" s="104"/>
      <c r="AF10" s="96"/>
      <c r="AG10" s="20"/>
      <c r="AH10" s="119"/>
      <c r="AI10" s="19"/>
      <c r="AJ10" s="19"/>
      <c r="AK10" s="19"/>
      <c r="AL10" s="96"/>
      <c r="AM10" s="119"/>
      <c r="AN10" s="19"/>
      <c r="AO10" s="20"/>
      <c r="AP10" s="119"/>
      <c r="AQ10" s="115">
        <f t="shared" si="2"/>
        <v>0</v>
      </c>
      <c r="AR10" s="171">
        <f>IF(OR(Z10="",N(Z10)=0),
IF(
N(H10)+N(I10)=0,
0,
MAX(
IFERROR(VLOOKUP(AE10,'Rating Factors'!$BJ:$BK,2,FALSE),0),
((N(H10)*'Rating Factors'!$BF$2)+(N(I10)*'Rating Factors'!$BG$2))
*IFERROR(VLOOKUP(AE10,'Rating Factors'!$Z:$AA,2,FALSE),1)
*IFERROR(VLOOKUP(AJ10,'Rating Factors'!$AD:$AE,2,FALSE),1)
*IFERROR(VLOOKUP(SUM($H$8:$H$127),'Rating Factors'!$BM:$BN,2),1)
*IFERROR(VLOOKUP(SUM($I$8:$I$127),'Rating Factors'!$BH:$BI,2),1)
)
),
MAX(IFERROR(VLOOKUP(AE10,'Rating Factors'!$BJ:$BL,3,FALSE),0),
((N(I10)*'Rating Factors'!$BG$2))
*IFERROR(VLOOKUP(AE10,'Rating Factors'!$Z:$AA,2,FALSE),1)
*IFERROR(VLOOKUP(AJ10,'Rating Factors'!$AD:$AE,2,FALSE),1)
*N(AA10)* IFERROR(VLOOKUP(G10,'Rating Factors'!$C:$D,2,FALSE),1)*0.0045
))</f>
        <v>0</v>
      </c>
      <c r="AS10" s="172">
        <f t="shared" si="3"/>
        <v>0</v>
      </c>
      <c r="AT10" s="115">
        <f t="shared" ref="AT10:AT72" si="11">SUM(W10:Z10)</f>
        <v>0</v>
      </c>
      <c r="AU10" s="173" t="str">
        <f t="shared" si="4"/>
        <v/>
      </c>
      <c r="AV10" s="174" t="str">
        <f t="shared" si="5"/>
        <v/>
      </c>
      <c r="AW10" s="119"/>
      <c r="AX10" s="141">
        <f>IF(
  OR(
    IFERROR(VLOOKUP(F10,'Rating Factors'!$A:$B,2,FALSE)="Decline",FALSE),
    IFERROR(VLOOKUP(G10,'Rating Factors'!$C:$D,2,FALSE)="Decline",FALSE),
    IFERROR(VLOOKUP(J10,'Rating Factors'!$F:$G,2,FALSE)="Decline",FALSE),
    IFERROR(VLOOKUP(K10,'Rating Factors'!$H:$I,2,FALSE)="Decline",FALSE),
    IFERROR(VLOOKUP(L10,'Rating Factors'!$J:$K,2,FALSE)="Decline",FALSE),
    IFERROR(VLOOKUP(M10,'Rating Factors'!$L:$M,2,FALSE)="Decline",FALSE),
    IFERROR(VLOOKUP(N10,'Rating Factors'!$N:$O,2,FALSE)="Decline",FALSE),
    IFERROR(VLOOKUP(O10,'Rating Factors'!$P:$Q,2,FALSE)="Decline",FALSE),
    IFERROR(VLOOKUP(P10,'Rating Factors'!$BO:$BP,2,FALSE)="Decline",FALSE),
    IFERROR(VLOOKUP(Q10,'Rating Factors'!$BQ:$BR,2,FALSE)="Decline",FALSE),
    IFERROR(VLOOKUP(R10,'Rating Factors'!$R:$S,2,FALSE)="Decline",FALSE),
    IFERROR(VLOOKUP(S10,'Rating Factors'!$T:$U,2,FALSE)="Decline",FALSE),
    IFERROR(VLOOKUP(T10,'Rating Factors'!$V:$W,2,FALSE)="Decline",FALSE),
    IFERROR(VLOOKUP(U10,'Rating Factors'!$X:$Y,2,FALSE)="Decline",FALSE),
    IFERROR(VLOOKUP(AI10,'Rating Factors'!$AB:$AC,2,FALSE)="Decline",FALSE),
    IFERROR(VLOOKUP(AK10,'Rating Factors'!$AK:$AL,2,FALSE)="Decline",FALSE),
    IFERROR(VLOOKUP(AL10,'Rating Factors'!$AP:$AQ,2,FALSE)="Decline",FALSE)
  ),
  "Declined",
  SUM(
    W10,
    X10,
    Y10*
      IFERROR(VLOOKUP(AD10,'Rating Factors'!$BS:$BT,2,FALSE),1),
    Z10*
      IFERROR(VLOOKUP(AD10,'Rating Factors'!$BS:$BT,2,FALSE),1)*
      IFERROR(VLOOKUP(AC10,'Rating Factors'!$BV:$BW,2,FALSE),1),
  )
  * IFERROR(VLOOKUP(F10,'Rating Factors'!$A:$B,2,FALSE),1)
  * IFERROR(VLOOKUP(G10,'Rating Factors'!$C:$D,2,FALSE),1)
  * IFERROR(VLOOKUP(J10,'Rating Factors'!$F:$G,2,FALSE),1)
  * IFERROR(VLOOKUP(K10,'Rating Factors'!$H:$I,2,FALSE),1)
  * IFERROR(VLOOKUP(L10,'Rating Factors'!$J:$K,2,FALSE),1)
  * IFERROR(VLOOKUP(M10,'Rating Factors'!$L:$M,2,FALSE),1)
  * IFERROR(VLOOKUP(N10,'Rating Factors'!$N:$O,2,FALSE),1)
  * IFERROR(VLOOKUP(O10,'Rating Factors'!$P:$Q,2,FALSE),1)
  * IFERROR(VLOOKUP(P10,'Rating Factors'!$BO:$BP,2,FALSE),1)
  * IFERROR(VLOOKUP(Q10,'Rating Factors'!$BQ:$BR,2,FALSE),1)
  * IFERROR(VLOOKUP(R10,'Rating Factors'!$R:$S,2,FALSE),1)
  * IFERROR(VLOOKUP(S10,'Rating Factors'!$T:$U,2,FALSE),1)
  * IFERROR(VLOOKUP(T10,'Rating Factors'!$V:$W,2,FALSE),1)
  * IFERROR(VLOOKUP(U10,'Rating Factors'!$X:$Y,2,FALSE),1)
  * IFERROR(VLOOKUP(AI10,'Rating Factors'!$AB:$AC,2,FALSE),1)
  * IFERROR(VLOOKUP(AK10,'Rating Factors'!$AK:$AL,2,FALSE),1)
  * IFERROR(VLOOKUP(AL10,'Rating Factors'!$AP:$AQ,2,FALSE),1)
  * IFERROR(LOOKUP(SUM($W$8:$Z$127),'Rating Factors'!$BD:$BD,'Rating Factors'!$BE:$BE),1))</f>
        <v>0</v>
      </c>
      <c r="AY10" s="158">
        <f>IF(OR(AQ10="Declined", AN10&lt;&gt;"Y"),
   0,
   N(AT10)*N('Rating Factors'!$AG$2)/100
)</f>
        <v>0</v>
      </c>
      <c r="AZ10" s="158">
        <f t="shared" si="6"/>
        <v>0</v>
      </c>
      <c r="BA10" s="142">
        <f>_xlfn.LET(
  _xlpm.base_ok, AND(AQ10&lt;&gt;"Declined", N(AQ10)&gt;0),
  _xlpm.is_full, EXACT(AG10, "Full Limit"),
  _xlpm.total_tiv, SUM($AT$8:$AT$127),
  _xlpm.loc_tiv, N(BE10),
  _xlpm.full_rate, N('Rating Factors'!$AO$10),
  _xlpm.min_per_loc, N('Rating Factors'!$AN$10),
  _xlpm.n_locs, N(E7),
  _xlpm.sched_prem, MAX(_xlpm.total_tiv*_xlpm.full_rate, _xlpm.min_per_loc*_xlpm.n_locs),
  _xlpm.alloc_prem, IF(_xlpm.total_tiv=0, 0, _xlpm.sched_prem * _xlpm.loc_tiv / _xlpm.total_tiv),
  _xlpm.cap_prem, IFERROR(VLOOKUP(AG10, 'Rating Factors'!$AM:$AN, 2, FALSE), 0),
  IF(_xlpm.base_ok,
     IF(_xlpm.is_full, _xlpm.alloc_prem, _xlpm.cap_prem),
     0
  )
)</f>
        <v>0</v>
      </c>
      <c r="BB10" s="143">
        <f t="shared" si="0"/>
        <v>0</v>
      </c>
      <c r="BC10" s="144">
        <f t="shared" si="7"/>
        <v>0</v>
      </c>
      <c r="BD10" s="145">
        <f t="shared" si="8"/>
        <v>0</v>
      </c>
      <c r="BE10" s="115">
        <f t="shared" si="1"/>
        <v>0</v>
      </c>
      <c r="BF10" s="106" t="str">
        <f t="shared" si="9"/>
        <v/>
      </c>
      <c r="BG10"/>
      <c r="BI10" s="67" t="str" cm="1">
        <f t="array" ref="BI10">IF(E10="","",LEFT(_xlfn.REGEXEXTRACT(UPPER(E10),"[A-Z][0-9][A-Z][ -]?[0-9][A-Z][0-9]"),3))</f>
        <v/>
      </c>
      <c r="BJ10" s="66" t="str">
        <f>IF(E10="","",_xlfn.XLOOKUP(BI10, CrestaP!B:B, CrestaP!D:D, ""))</f>
        <v/>
      </c>
      <c r="BK10" s="66" t="str">
        <f>IFERROR(
  INDEX(
    CrestaP!H4:M9,
    MATCH(J10, {"Frame","Brick Veneer","Joisted Masonry","Non-Combustible","Masonry Non-Combustible","Fire resistive"}, 0),
    MATCH(TEXT(BJ10,"@"), {"16","E5","E4","E3","E2","E1"}, 0)
  ),
  ""
)</f>
        <v/>
      </c>
    </row>
    <row r="11" spans="2:64" hidden="1" x14ac:dyDescent="0.25">
      <c r="B11"/>
      <c r="C11" s="24">
        <f t="shared" si="10"/>
        <v>4</v>
      </c>
      <c r="D11" s="25" t="s">
        <v>30</v>
      </c>
      <c r="E11" s="175"/>
      <c r="F11" s="89"/>
      <c r="G11" s="89"/>
      <c r="H11" s="104"/>
      <c r="I11" s="104"/>
      <c r="J11" s="89"/>
      <c r="K11" s="89"/>
      <c r="L11" s="89"/>
      <c r="M11" s="89"/>
      <c r="N11" s="89"/>
      <c r="O11" s="89"/>
      <c r="P11" s="104"/>
      <c r="Q11" s="104"/>
      <c r="R11" s="89"/>
      <c r="S11" s="89"/>
      <c r="T11" s="89"/>
      <c r="U11" s="25"/>
      <c r="V11" s="119"/>
      <c r="W11" s="19"/>
      <c r="X11" s="104"/>
      <c r="Y11" s="104"/>
      <c r="Z11" s="104"/>
      <c r="AA11" s="19"/>
      <c r="AB11" s="160" t="str">
        <f>IF(OR(AA11="",G11=""),"",VLOOKUP(G11,'Rating Factors'!$C:$E,3,FALSE)*AA11)</f>
        <v/>
      </c>
      <c r="AC11" s="20"/>
      <c r="AD11" s="20"/>
      <c r="AE11" s="104"/>
      <c r="AF11" s="96"/>
      <c r="AG11" s="20"/>
      <c r="AH11" s="119"/>
      <c r="AI11" s="19"/>
      <c r="AJ11" s="19"/>
      <c r="AK11" s="19"/>
      <c r="AL11" s="96"/>
      <c r="AM11" s="119"/>
      <c r="AN11" s="19"/>
      <c r="AO11" s="20"/>
      <c r="AP11" s="119"/>
      <c r="AQ11" s="115">
        <f t="shared" si="2"/>
        <v>0</v>
      </c>
      <c r="AR11" s="171">
        <f>IF(OR(Z11="",N(Z11)=0),
IF(
N(H11)+N(I11)=0,
0,
MAX(
IFERROR(VLOOKUP(AE11,'Rating Factors'!$BJ:$BK,2,FALSE),0),
((N(H11)*'Rating Factors'!$BF$2)+(N(I11)*'Rating Factors'!$BG$2))
*IFERROR(VLOOKUP(AE11,'Rating Factors'!$Z:$AA,2,FALSE),1)
*IFERROR(VLOOKUP(AJ11,'Rating Factors'!$AD:$AE,2,FALSE),1)
*IFERROR(VLOOKUP(SUM($H$8:$H$127),'Rating Factors'!$BM:$BN,2),1)
*IFERROR(VLOOKUP(SUM($I$8:$I$127),'Rating Factors'!$BH:$BI,2),1)
)
),
MAX(IFERROR(VLOOKUP(AE11,'Rating Factors'!$BJ:$BL,3,FALSE),0),
((N(I11)*'Rating Factors'!$BG$2))
*IFERROR(VLOOKUP(AE11,'Rating Factors'!$Z:$AA,2,FALSE),1)
*IFERROR(VLOOKUP(AJ11,'Rating Factors'!$AD:$AE,2,FALSE),1)
*N(AA11)* IFERROR(VLOOKUP(G11,'Rating Factors'!$C:$D,2,FALSE),1)*0.0045
))</f>
        <v>0</v>
      </c>
      <c r="AS11" s="172">
        <f t="shared" si="3"/>
        <v>0</v>
      </c>
      <c r="AT11" s="115">
        <f t="shared" si="11"/>
        <v>0</v>
      </c>
      <c r="AU11" s="173" t="str">
        <f t="shared" si="4"/>
        <v/>
      </c>
      <c r="AV11" s="174" t="str">
        <f t="shared" si="5"/>
        <v/>
      </c>
      <c r="AW11" s="119"/>
      <c r="AX11" s="141">
        <f>IF(
  OR(
    IFERROR(VLOOKUP(F11,'Rating Factors'!$A:$B,2,FALSE)="Decline",FALSE),
    IFERROR(VLOOKUP(G11,'Rating Factors'!$C:$D,2,FALSE)="Decline",FALSE),
    IFERROR(VLOOKUP(J11,'Rating Factors'!$F:$G,2,FALSE)="Decline",FALSE),
    IFERROR(VLOOKUP(K11,'Rating Factors'!$H:$I,2,FALSE)="Decline",FALSE),
    IFERROR(VLOOKUP(L11,'Rating Factors'!$J:$K,2,FALSE)="Decline",FALSE),
    IFERROR(VLOOKUP(M11,'Rating Factors'!$L:$M,2,FALSE)="Decline",FALSE),
    IFERROR(VLOOKUP(N11,'Rating Factors'!$N:$O,2,FALSE)="Decline",FALSE),
    IFERROR(VLOOKUP(O11,'Rating Factors'!$P:$Q,2,FALSE)="Decline",FALSE),
    IFERROR(VLOOKUP(P11,'Rating Factors'!$BO:$BP,2,FALSE)="Decline",FALSE),
    IFERROR(VLOOKUP(Q11,'Rating Factors'!$BQ:$BR,2,FALSE)="Decline",FALSE),
    IFERROR(VLOOKUP(R11,'Rating Factors'!$R:$S,2,FALSE)="Decline",FALSE),
    IFERROR(VLOOKUP(S11,'Rating Factors'!$T:$U,2,FALSE)="Decline",FALSE),
    IFERROR(VLOOKUP(T11,'Rating Factors'!$V:$W,2,FALSE)="Decline",FALSE),
    IFERROR(VLOOKUP(U11,'Rating Factors'!$X:$Y,2,FALSE)="Decline",FALSE),
    IFERROR(VLOOKUP(AI11,'Rating Factors'!$AB:$AC,2,FALSE)="Decline",FALSE),
    IFERROR(VLOOKUP(AK11,'Rating Factors'!$AK:$AL,2,FALSE)="Decline",FALSE),
    IFERROR(VLOOKUP(AL11,'Rating Factors'!$AP:$AQ,2,FALSE)="Decline",FALSE)
  ),
  "Declined",
  SUM(
    W11,
    X11,
    Y11*
      IFERROR(VLOOKUP(AD11,'Rating Factors'!$BS:$BT,2,FALSE),1),
    Z11*
      IFERROR(VLOOKUP(AD11,'Rating Factors'!$BS:$BT,2,FALSE),1)*
      IFERROR(VLOOKUP(AC11,'Rating Factors'!$BV:$BW,2,FALSE),1),
  )
  * IFERROR(VLOOKUP(F11,'Rating Factors'!$A:$B,2,FALSE),1)
  * IFERROR(VLOOKUP(G11,'Rating Factors'!$C:$D,2,FALSE),1)
  * IFERROR(VLOOKUP(J11,'Rating Factors'!$F:$G,2,FALSE),1)
  * IFERROR(VLOOKUP(K11,'Rating Factors'!$H:$I,2,FALSE),1)
  * IFERROR(VLOOKUP(L11,'Rating Factors'!$J:$K,2,FALSE),1)
  * IFERROR(VLOOKUP(M11,'Rating Factors'!$L:$M,2,FALSE),1)
  * IFERROR(VLOOKUP(N11,'Rating Factors'!$N:$O,2,FALSE),1)
  * IFERROR(VLOOKUP(O11,'Rating Factors'!$P:$Q,2,FALSE),1)
  * IFERROR(VLOOKUP(P11,'Rating Factors'!$BO:$BP,2,FALSE),1)
  * IFERROR(VLOOKUP(Q11,'Rating Factors'!$BQ:$BR,2,FALSE),1)
  * IFERROR(VLOOKUP(R11,'Rating Factors'!$R:$S,2,FALSE),1)
  * IFERROR(VLOOKUP(S11,'Rating Factors'!$T:$U,2,FALSE),1)
  * IFERROR(VLOOKUP(T11,'Rating Factors'!$V:$W,2,FALSE),1)
  * IFERROR(VLOOKUP(U11,'Rating Factors'!$X:$Y,2,FALSE),1)
  * IFERROR(VLOOKUP(AI11,'Rating Factors'!$AB:$AC,2,FALSE),1)
  * IFERROR(VLOOKUP(AK11,'Rating Factors'!$AK:$AL,2,FALSE),1)
  * IFERROR(VLOOKUP(AL11,'Rating Factors'!$AP:$AQ,2,FALSE),1)
  * IFERROR(LOOKUP(SUM($W$8:$Z$127),'Rating Factors'!$BD:$BD,'Rating Factors'!$BE:$BE),1))</f>
        <v>0</v>
      </c>
      <c r="AY11" s="158">
        <f>IF(OR(AQ11="Declined", AN11&lt;&gt;"Y"),
   0,
   N(AT11)*N('Rating Factors'!$AG$2)/100
)</f>
        <v>0</v>
      </c>
      <c r="AZ11" s="158">
        <f t="shared" si="6"/>
        <v>0</v>
      </c>
      <c r="BA11" s="142">
        <f>_xlfn.LET(
  _xlpm.base_ok, AND(AQ11&lt;&gt;"Declined", N(AQ11)&gt;0),
  _xlpm.is_full, EXACT(AG11, "Full Limit"),
  _xlpm.total_tiv, SUM($AT$8:$AT$127),
  _xlpm.loc_tiv, N(BE11),
  _xlpm.full_rate, N('Rating Factors'!$AO$10),
  _xlpm.min_per_loc, N('Rating Factors'!$AN$10),
  _xlpm.n_locs, N(E8),
  _xlpm.sched_prem, MAX(_xlpm.total_tiv*_xlpm.full_rate, _xlpm.min_per_loc*_xlpm.n_locs),
  _xlpm.alloc_prem, IF(_xlpm.total_tiv=0, 0, _xlpm.sched_prem * _xlpm.loc_tiv / _xlpm.total_tiv),
  _xlpm.cap_prem, IFERROR(VLOOKUP(AG11, 'Rating Factors'!$AM:$AN, 2, FALSE), 0),
  IF(_xlpm.base_ok,
     IF(_xlpm.is_full, _xlpm.alloc_prem, _xlpm.cap_prem),
     0
  )
)</f>
        <v>0</v>
      </c>
      <c r="BB11" s="143">
        <f t="shared" si="0"/>
        <v>0</v>
      </c>
      <c r="BC11" s="144">
        <f t="shared" si="7"/>
        <v>0</v>
      </c>
      <c r="BD11" s="145">
        <f t="shared" si="8"/>
        <v>0</v>
      </c>
      <c r="BE11" s="115">
        <f t="shared" si="1"/>
        <v>0</v>
      </c>
      <c r="BF11" s="106" t="str">
        <f t="shared" si="9"/>
        <v/>
      </c>
      <c r="BG11"/>
      <c r="BI11" s="67" t="str" cm="1">
        <f t="array" ref="BI11">IF(E11="","",LEFT(_xlfn.REGEXEXTRACT(UPPER(E11),"[A-Z][0-9][A-Z][ -]?[0-9][A-Z][0-9]"),3))</f>
        <v/>
      </c>
      <c r="BJ11" s="66" t="str">
        <f>IF(E11="","",_xlfn.XLOOKUP(BI11, CrestaP!B:B, CrestaP!D:D, ""))</f>
        <v/>
      </c>
      <c r="BK11" s="66" t="str">
        <f>IFERROR(
  INDEX(
    CrestaP!H4:M9,
    MATCH(J11, {"Frame","Brick Veneer","Joisted Masonry","Non-Combustible","Masonry Non-Combustible","Fire resistive"}, 0),
    MATCH(TEXT(BJ11,"@"), {"16","E5","E4","E3","E2","E1"}, 0)
  ),
  ""
)</f>
        <v/>
      </c>
    </row>
    <row r="12" spans="2:64" hidden="1" x14ac:dyDescent="0.25">
      <c r="B12"/>
      <c r="C12" s="24">
        <f t="shared" si="10"/>
        <v>5</v>
      </c>
      <c r="D12" s="25" t="s">
        <v>30</v>
      </c>
      <c r="E12" s="175"/>
      <c r="F12" s="89"/>
      <c r="G12" s="89"/>
      <c r="H12" s="104"/>
      <c r="I12" s="104"/>
      <c r="J12" s="89"/>
      <c r="K12" s="89"/>
      <c r="L12" s="89"/>
      <c r="M12" s="89"/>
      <c r="N12" s="89"/>
      <c r="O12" s="89"/>
      <c r="P12" s="104"/>
      <c r="Q12" s="104"/>
      <c r="R12" s="89"/>
      <c r="S12" s="89"/>
      <c r="T12" s="89"/>
      <c r="U12" s="25"/>
      <c r="V12" s="119"/>
      <c r="W12" s="19"/>
      <c r="X12" s="104"/>
      <c r="Y12" s="104"/>
      <c r="Z12" s="104"/>
      <c r="AA12" s="19"/>
      <c r="AB12" s="160" t="str">
        <f>IF(OR(AA12="",G12=""),"",VLOOKUP(G12,'Rating Factors'!$C:$E,3,FALSE)*AA12)</f>
        <v/>
      </c>
      <c r="AC12" s="20"/>
      <c r="AD12" s="20"/>
      <c r="AE12" s="104"/>
      <c r="AF12" s="96"/>
      <c r="AG12" s="20"/>
      <c r="AH12" s="119"/>
      <c r="AI12" s="19"/>
      <c r="AJ12" s="19"/>
      <c r="AK12" s="19"/>
      <c r="AL12" s="96"/>
      <c r="AM12" s="119"/>
      <c r="AN12" s="19"/>
      <c r="AO12" s="20"/>
      <c r="AP12" s="119"/>
      <c r="AQ12" s="115">
        <f t="shared" si="2"/>
        <v>0</v>
      </c>
      <c r="AR12" s="171">
        <f>IF(OR(Z12="",N(Z12)=0),
IF(
N(H12)+N(I12)=0,
0,
MAX(
IFERROR(VLOOKUP(AE12,'Rating Factors'!$BJ:$BK,2,FALSE),0),
((N(H12)*'Rating Factors'!$BF$2)+(N(I12)*'Rating Factors'!$BG$2))
*IFERROR(VLOOKUP(AE12,'Rating Factors'!$Z:$AA,2,FALSE),1)
*IFERROR(VLOOKUP(AJ12,'Rating Factors'!$AD:$AE,2,FALSE),1)
*IFERROR(VLOOKUP(SUM($H$8:$H$127),'Rating Factors'!$BM:$BN,2),1)
*IFERROR(VLOOKUP(SUM($I$8:$I$127),'Rating Factors'!$BH:$BI,2),1)
)
),
MAX(IFERROR(VLOOKUP(AE12,'Rating Factors'!$BJ:$BL,3,FALSE),0),
((N(I12)*'Rating Factors'!$BG$2))
*IFERROR(VLOOKUP(AE12,'Rating Factors'!$Z:$AA,2,FALSE),1)
*IFERROR(VLOOKUP(AJ12,'Rating Factors'!$AD:$AE,2,FALSE),1)
*N(AA12)* IFERROR(VLOOKUP(G12,'Rating Factors'!$C:$D,2,FALSE),1)*0.0045
))</f>
        <v>0</v>
      </c>
      <c r="AS12" s="172">
        <f t="shared" si="3"/>
        <v>0</v>
      </c>
      <c r="AT12" s="115">
        <f t="shared" si="11"/>
        <v>0</v>
      </c>
      <c r="AU12" s="173" t="str">
        <f t="shared" si="4"/>
        <v/>
      </c>
      <c r="AV12" s="174" t="str">
        <f t="shared" si="5"/>
        <v/>
      </c>
      <c r="AW12" s="119"/>
      <c r="AX12" s="141">
        <f>IF(
  OR(
    IFERROR(VLOOKUP(F12,'Rating Factors'!$A:$B,2,FALSE)="Decline",FALSE),
    IFERROR(VLOOKUP(G12,'Rating Factors'!$C:$D,2,FALSE)="Decline",FALSE),
    IFERROR(VLOOKUP(J12,'Rating Factors'!$F:$G,2,FALSE)="Decline",FALSE),
    IFERROR(VLOOKUP(K12,'Rating Factors'!$H:$I,2,FALSE)="Decline",FALSE),
    IFERROR(VLOOKUP(L12,'Rating Factors'!$J:$K,2,FALSE)="Decline",FALSE),
    IFERROR(VLOOKUP(M12,'Rating Factors'!$L:$M,2,FALSE)="Decline",FALSE),
    IFERROR(VLOOKUP(N12,'Rating Factors'!$N:$O,2,FALSE)="Decline",FALSE),
    IFERROR(VLOOKUP(O12,'Rating Factors'!$P:$Q,2,FALSE)="Decline",FALSE),
    IFERROR(VLOOKUP(P12,'Rating Factors'!$BO:$BP,2,FALSE)="Decline",FALSE),
    IFERROR(VLOOKUP(Q12,'Rating Factors'!$BQ:$BR,2,FALSE)="Decline",FALSE),
    IFERROR(VLOOKUP(R12,'Rating Factors'!$R:$S,2,FALSE)="Decline",FALSE),
    IFERROR(VLOOKUP(S12,'Rating Factors'!$T:$U,2,FALSE)="Decline",FALSE),
    IFERROR(VLOOKUP(T12,'Rating Factors'!$V:$W,2,FALSE)="Decline",FALSE),
    IFERROR(VLOOKUP(U12,'Rating Factors'!$X:$Y,2,FALSE)="Decline",FALSE),
    IFERROR(VLOOKUP(AI12,'Rating Factors'!$AB:$AC,2,FALSE)="Decline",FALSE),
    IFERROR(VLOOKUP(AK12,'Rating Factors'!$AK:$AL,2,FALSE)="Decline",FALSE),
    IFERROR(VLOOKUP(AL12,'Rating Factors'!$AP:$AQ,2,FALSE)="Decline",FALSE)
  ),
  "Declined",
  SUM(
    W12,
    X12,
    Y12*
      IFERROR(VLOOKUP(AD12,'Rating Factors'!$BS:$BT,2,FALSE),1),
    Z12*
      IFERROR(VLOOKUP(AD12,'Rating Factors'!$BS:$BT,2,FALSE),1)*
      IFERROR(VLOOKUP(AC12,'Rating Factors'!$BV:$BW,2,FALSE),1),
  )
  * IFERROR(VLOOKUP(F12,'Rating Factors'!$A:$B,2,FALSE),1)
  * IFERROR(VLOOKUP(G12,'Rating Factors'!$C:$D,2,FALSE),1)
  * IFERROR(VLOOKUP(J12,'Rating Factors'!$F:$G,2,FALSE),1)
  * IFERROR(VLOOKUP(K12,'Rating Factors'!$H:$I,2,FALSE),1)
  * IFERROR(VLOOKUP(L12,'Rating Factors'!$J:$K,2,FALSE),1)
  * IFERROR(VLOOKUP(M12,'Rating Factors'!$L:$M,2,FALSE),1)
  * IFERROR(VLOOKUP(N12,'Rating Factors'!$N:$O,2,FALSE),1)
  * IFERROR(VLOOKUP(O12,'Rating Factors'!$P:$Q,2,FALSE),1)
  * IFERROR(VLOOKUP(P12,'Rating Factors'!$BO:$BP,2,FALSE),1)
  * IFERROR(VLOOKUP(Q12,'Rating Factors'!$BQ:$BR,2,FALSE),1)
  * IFERROR(VLOOKUP(R12,'Rating Factors'!$R:$S,2,FALSE),1)
  * IFERROR(VLOOKUP(S12,'Rating Factors'!$T:$U,2,FALSE),1)
  * IFERROR(VLOOKUP(T12,'Rating Factors'!$V:$W,2,FALSE),1)
  * IFERROR(VLOOKUP(U12,'Rating Factors'!$X:$Y,2,FALSE),1)
  * IFERROR(VLOOKUP(AI12,'Rating Factors'!$AB:$AC,2,FALSE),1)
  * IFERROR(VLOOKUP(AK12,'Rating Factors'!$AK:$AL,2,FALSE),1)
  * IFERROR(VLOOKUP(AL12,'Rating Factors'!$AP:$AQ,2,FALSE),1)
  * IFERROR(LOOKUP(SUM($W$8:$Z$127),'Rating Factors'!$BD:$BD,'Rating Factors'!$BE:$BE),1))</f>
        <v>0</v>
      </c>
      <c r="AY12" s="158">
        <f>IF(OR(AQ12="Declined", AN12&lt;&gt;"Y"),
   0,
   N(AT12)*N('Rating Factors'!$AG$2)/100
)</f>
        <v>0</v>
      </c>
      <c r="AZ12" s="158">
        <f t="shared" si="6"/>
        <v>0</v>
      </c>
      <c r="BA12" s="142">
        <f>_xlfn.LET(
  _xlpm.base_ok, AND(AQ12&lt;&gt;"Declined", N(AQ12)&gt;0),
  _xlpm.is_full, EXACT(AG12, "Full Limit"),
  _xlpm.total_tiv, SUM($AT$8:$AT$127),
  _xlpm.loc_tiv, N(BE12),
  _xlpm.full_rate, N('Rating Factors'!$AO$10),
  _xlpm.min_per_loc, N('Rating Factors'!$AN$10),
  _xlpm.n_locs, N(E9),
  _xlpm.sched_prem, MAX(_xlpm.total_tiv*_xlpm.full_rate, _xlpm.min_per_loc*_xlpm.n_locs),
  _xlpm.alloc_prem, IF(_xlpm.total_tiv=0, 0, _xlpm.sched_prem * _xlpm.loc_tiv / _xlpm.total_tiv),
  _xlpm.cap_prem, IFERROR(VLOOKUP(AG12, 'Rating Factors'!$AM:$AN, 2, FALSE), 0),
  IF(_xlpm.base_ok,
     IF(_xlpm.is_full, _xlpm.alloc_prem, _xlpm.cap_prem),
     0
  )
)</f>
        <v>0</v>
      </c>
      <c r="BB12" s="143">
        <f t="shared" si="0"/>
        <v>0</v>
      </c>
      <c r="BC12" s="144">
        <f t="shared" si="7"/>
        <v>0</v>
      </c>
      <c r="BD12" s="145">
        <f t="shared" si="8"/>
        <v>0</v>
      </c>
      <c r="BE12" s="115">
        <f t="shared" si="1"/>
        <v>0</v>
      </c>
      <c r="BF12" s="106" t="str">
        <f t="shared" si="9"/>
        <v/>
      </c>
      <c r="BG12"/>
      <c r="BI12" s="67" t="str" cm="1">
        <f t="array" ref="BI12">IF(E12="","",LEFT(_xlfn.REGEXEXTRACT(UPPER(E12),"[A-Z][0-9][A-Z][ -]?[0-9][A-Z][0-9]"),3))</f>
        <v/>
      </c>
      <c r="BJ12" s="66" t="str">
        <f>IF(E12="","",_xlfn.XLOOKUP(BI12, CrestaP!B:B, CrestaP!D:D, ""))</f>
        <v/>
      </c>
      <c r="BK12" s="66" t="str">
        <f>IFERROR(
  INDEX(
    CrestaP!H4:M9,
    MATCH(J12, {"Frame","Brick Veneer","Joisted Masonry","Non-Combustible","Masonry Non-Combustible","Fire resistive"}, 0),
    MATCH(TEXT(BJ12,"@"), {"16","E5","E4","E3","E2","E1"}, 0)
  ),
  ""
)</f>
        <v/>
      </c>
    </row>
    <row r="13" spans="2:64" hidden="1" x14ac:dyDescent="0.25">
      <c r="B13"/>
      <c r="C13" s="24">
        <f t="shared" si="10"/>
        <v>6</v>
      </c>
      <c r="D13" s="25" t="s">
        <v>30</v>
      </c>
      <c r="E13" s="175"/>
      <c r="F13" s="89"/>
      <c r="G13" s="89"/>
      <c r="H13" s="104"/>
      <c r="I13" s="104"/>
      <c r="J13" s="89"/>
      <c r="K13" s="89"/>
      <c r="L13" s="89"/>
      <c r="M13" s="89"/>
      <c r="N13" s="89"/>
      <c r="O13" s="89"/>
      <c r="P13" s="104"/>
      <c r="Q13" s="104"/>
      <c r="R13" s="89"/>
      <c r="S13" s="89"/>
      <c r="T13" s="89"/>
      <c r="U13" s="25"/>
      <c r="V13" s="119"/>
      <c r="W13" s="19"/>
      <c r="X13" s="104"/>
      <c r="Y13" s="104"/>
      <c r="Z13" s="104"/>
      <c r="AA13" s="19"/>
      <c r="AB13" s="160" t="str">
        <f>IF(OR(AA13="",G13=""),"",VLOOKUP(G13,'Rating Factors'!$C:$E,3,FALSE)*AA13)</f>
        <v/>
      </c>
      <c r="AC13" s="20"/>
      <c r="AD13" s="20"/>
      <c r="AE13" s="104"/>
      <c r="AF13" s="96"/>
      <c r="AG13" s="20"/>
      <c r="AH13" s="119"/>
      <c r="AI13" s="19"/>
      <c r="AJ13" s="19"/>
      <c r="AK13" s="19"/>
      <c r="AL13" s="96"/>
      <c r="AM13" s="119"/>
      <c r="AN13" s="19"/>
      <c r="AO13" s="20"/>
      <c r="AP13" s="119"/>
      <c r="AQ13" s="115">
        <f t="shared" si="2"/>
        <v>0</v>
      </c>
      <c r="AR13" s="171">
        <f>IF(OR(Z13="",N(Z13)=0),
IF(
N(H13)+N(I13)=0,
0,
MAX(
IFERROR(VLOOKUP(AE13,'Rating Factors'!$BJ:$BK,2,FALSE),0),
((N(H13)*'Rating Factors'!$BF$2)+(N(I13)*'Rating Factors'!$BG$2))
*IFERROR(VLOOKUP(AE13,'Rating Factors'!$Z:$AA,2,FALSE),1)
*IFERROR(VLOOKUP(AJ13,'Rating Factors'!$AD:$AE,2,FALSE),1)
*IFERROR(VLOOKUP(SUM($H$8:$H$127),'Rating Factors'!$BM:$BN,2),1)
*IFERROR(VLOOKUP(SUM($I$8:$I$127),'Rating Factors'!$BH:$BI,2),1)
)
),
MAX(IFERROR(VLOOKUP(AE13,'Rating Factors'!$BJ:$BL,3,FALSE),0),
((N(I13)*'Rating Factors'!$BG$2))
*IFERROR(VLOOKUP(AE13,'Rating Factors'!$Z:$AA,2,FALSE),1)
*IFERROR(VLOOKUP(AJ13,'Rating Factors'!$AD:$AE,2,FALSE),1)
*N(AA13)* IFERROR(VLOOKUP(G13,'Rating Factors'!$C:$D,2,FALSE),1)*0.0045
))</f>
        <v>0</v>
      </c>
      <c r="AS13" s="172">
        <f t="shared" si="3"/>
        <v>0</v>
      </c>
      <c r="AT13" s="115">
        <f t="shared" si="11"/>
        <v>0</v>
      </c>
      <c r="AU13" s="173" t="str">
        <f t="shared" si="4"/>
        <v/>
      </c>
      <c r="AV13" s="174" t="str">
        <f t="shared" si="5"/>
        <v/>
      </c>
      <c r="AW13" s="119"/>
      <c r="AX13" s="141">
        <f>IF(
  OR(
    IFERROR(VLOOKUP(F13,'Rating Factors'!$A:$B,2,FALSE)="Decline",FALSE),
    IFERROR(VLOOKUP(G13,'Rating Factors'!$C:$D,2,FALSE)="Decline",FALSE),
    IFERROR(VLOOKUP(J13,'Rating Factors'!$F:$G,2,FALSE)="Decline",FALSE),
    IFERROR(VLOOKUP(K13,'Rating Factors'!$H:$I,2,FALSE)="Decline",FALSE),
    IFERROR(VLOOKUP(L13,'Rating Factors'!$J:$K,2,FALSE)="Decline",FALSE),
    IFERROR(VLOOKUP(M13,'Rating Factors'!$L:$M,2,FALSE)="Decline",FALSE),
    IFERROR(VLOOKUP(N13,'Rating Factors'!$N:$O,2,FALSE)="Decline",FALSE),
    IFERROR(VLOOKUP(O13,'Rating Factors'!$P:$Q,2,FALSE)="Decline",FALSE),
    IFERROR(VLOOKUP(P13,'Rating Factors'!$BO:$BP,2,FALSE)="Decline",FALSE),
    IFERROR(VLOOKUP(Q13,'Rating Factors'!$BQ:$BR,2,FALSE)="Decline",FALSE),
    IFERROR(VLOOKUP(R13,'Rating Factors'!$R:$S,2,FALSE)="Decline",FALSE),
    IFERROR(VLOOKUP(S13,'Rating Factors'!$T:$U,2,FALSE)="Decline",FALSE),
    IFERROR(VLOOKUP(T13,'Rating Factors'!$V:$W,2,FALSE)="Decline",FALSE),
    IFERROR(VLOOKUP(U13,'Rating Factors'!$X:$Y,2,FALSE)="Decline",FALSE),
    IFERROR(VLOOKUP(AI13,'Rating Factors'!$AB:$AC,2,FALSE)="Decline",FALSE),
    IFERROR(VLOOKUP(AK13,'Rating Factors'!$AK:$AL,2,FALSE)="Decline",FALSE),
    IFERROR(VLOOKUP(AL13,'Rating Factors'!$AP:$AQ,2,FALSE)="Decline",FALSE)
  ),
  "Declined",
  SUM(
    W13,
    X13,
    Y13*
      IFERROR(VLOOKUP(AD13,'Rating Factors'!$BS:$BT,2,FALSE),1),
    Z13*
      IFERROR(VLOOKUP(AD13,'Rating Factors'!$BS:$BT,2,FALSE),1)*
      IFERROR(VLOOKUP(AC13,'Rating Factors'!$BV:$BW,2,FALSE),1),
  )
  * IFERROR(VLOOKUP(F13,'Rating Factors'!$A:$B,2,FALSE),1)
  * IFERROR(VLOOKUP(G13,'Rating Factors'!$C:$D,2,FALSE),1)
  * IFERROR(VLOOKUP(J13,'Rating Factors'!$F:$G,2,FALSE),1)
  * IFERROR(VLOOKUP(K13,'Rating Factors'!$H:$I,2,FALSE),1)
  * IFERROR(VLOOKUP(L13,'Rating Factors'!$J:$K,2,FALSE),1)
  * IFERROR(VLOOKUP(M13,'Rating Factors'!$L:$M,2,FALSE),1)
  * IFERROR(VLOOKUP(N13,'Rating Factors'!$N:$O,2,FALSE),1)
  * IFERROR(VLOOKUP(O13,'Rating Factors'!$P:$Q,2,FALSE),1)
  * IFERROR(VLOOKUP(P13,'Rating Factors'!$BO:$BP,2,FALSE),1)
  * IFERROR(VLOOKUP(Q13,'Rating Factors'!$BQ:$BR,2,FALSE),1)
  * IFERROR(VLOOKUP(R13,'Rating Factors'!$R:$S,2,FALSE),1)
  * IFERROR(VLOOKUP(S13,'Rating Factors'!$T:$U,2,FALSE),1)
  * IFERROR(VLOOKUP(T13,'Rating Factors'!$V:$W,2,FALSE),1)
  * IFERROR(VLOOKUP(U13,'Rating Factors'!$X:$Y,2,FALSE),1)
  * IFERROR(VLOOKUP(AI13,'Rating Factors'!$AB:$AC,2,FALSE),1)
  * IFERROR(VLOOKUP(AK13,'Rating Factors'!$AK:$AL,2,FALSE),1)
  * IFERROR(VLOOKUP(AL13,'Rating Factors'!$AP:$AQ,2,FALSE),1)
  * IFERROR(LOOKUP(SUM($W$8:$Z$127),'Rating Factors'!$BD:$BD,'Rating Factors'!$BE:$BE),1))</f>
        <v>0</v>
      </c>
      <c r="AY13" s="158">
        <f>IF(OR(AQ13="Declined", AN13&lt;&gt;"Y"),
   0,
   N(AT13)*N('Rating Factors'!$AG$2)/100
)</f>
        <v>0</v>
      </c>
      <c r="AZ13" s="158">
        <f t="shared" si="6"/>
        <v>0</v>
      </c>
      <c r="BA13" s="142">
        <f>_xlfn.LET(
  _xlpm.base_ok, AND(AQ13&lt;&gt;"Declined", N(AQ13)&gt;0),
  _xlpm.is_full, EXACT(AG13, "Full Limit"),
  _xlpm.total_tiv, SUM($AT$8:$AT$127),
  _xlpm.loc_tiv, N(BE13),
  _xlpm.full_rate, N('Rating Factors'!$AO$10),
  _xlpm.min_per_loc, N('Rating Factors'!$AN$10),
  _xlpm.n_locs, N(E10),
  _xlpm.sched_prem, MAX(_xlpm.total_tiv*_xlpm.full_rate, _xlpm.min_per_loc*_xlpm.n_locs),
  _xlpm.alloc_prem, IF(_xlpm.total_tiv=0, 0, _xlpm.sched_prem * _xlpm.loc_tiv / _xlpm.total_tiv),
  _xlpm.cap_prem, IFERROR(VLOOKUP(AG13, 'Rating Factors'!$AM:$AN, 2, FALSE), 0),
  IF(_xlpm.base_ok,
     IF(_xlpm.is_full, _xlpm.alloc_prem, _xlpm.cap_prem),
     0
  )
)</f>
        <v>0</v>
      </c>
      <c r="BB13" s="143">
        <f t="shared" si="0"/>
        <v>0</v>
      </c>
      <c r="BC13" s="144">
        <f t="shared" si="7"/>
        <v>0</v>
      </c>
      <c r="BD13" s="145">
        <f t="shared" si="8"/>
        <v>0</v>
      </c>
      <c r="BE13" s="115">
        <f t="shared" si="1"/>
        <v>0</v>
      </c>
      <c r="BF13" s="106" t="str">
        <f t="shared" si="9"/>
        <v/>
      </c>
      <c r="BG13"/>
      <c r="BI13" s="67" t="str" cm="1">
        <f t="array" ref="BI13">IF(E13="","",LEFT(_xlfn.REGEXEXTRACT(UPPER(E13),"[A-Z][0-9][A-Z][ -]?[0-9][A-Z][0-9]"),3))</f>
        <v/>
      </c>
      <c r="BJ13" s="66" t="str">
        <f>IF(E13="","",_xlfn.XLOOKUP(BI13, CrestaP!B:B, CrestaP!D:D, ""))</f>
        <v/>
      </c>
      <c r="BK13" s="66" t="str">
        <f>IFERROR(
  INDEX(
    CrestaP!H4:M9,
    MATCH(J13, {"Frame","Brick Veneer","Joisted Masonry","Non-Combustible","Masonry Non-Combustible","Fire resistive"}, 0),
    MATCH(TEXT(BJ13,"@"), {"16","E5","E4","E3","E2","E1"}, 0)
  ),
  ""
)</f>
        <v/>
      </c>
    </row>
    <row r="14" spans="2:64" hidden="1" x14ac:dyDescent="0.25">
      <c r="B14"/>
      <c r="C14" s="24">
        <f t="shared" si="10"/>
        <v>7</v>
      </c>
      <c r="D14" s="25" t="s">
        <v>30</v>
      </c>
      <c r="E14" s="175"/>
      <c r="F14" s="89"/>
      <c r="G14" s="89"/>
      <c r="H14" s="104"/>
      <c r="I14" s="104"/>
      <c r="J14" s="89"/>
      <c r="K14" s="89"/>
      <c r="L14" s="89"/>
      <c r="M14" s="89"/>
      <c r="N14" s="89"/>
      <c r="O14" s="89"/>
      <c r="P14" s="104"/>
      <c r="Q14" s="104"/>
      <c r="R14" s="89"/>
      <c r="S14" s="89"/>
      <c r="T14" s="89"/>
      <c r="U14" s="25"/>
      <c r="V14" s="119"/>
      <c r="W14" s="19"/>
      <c r="X14" s="104"/>
      <c r="Y14" s="104"/>
      <c r="Z14" s="104"/>
      <c r="AA14" s="19"/>
      <c r="AB14" s="160" t="str">
        <f>IF(OR(AA14="",G14=""),"",VLOOKUP(G14,'Rating Factors'!$C:$E,3,FALSE)*AA14)</f>
        <v/>
      </c>
      <c r="AC14" s="20"/>
      <c r="AD14" s="20"/>
      <c r="AE14" s="104"/>
      <c r="AF14" s="96"/>
      <c r="AG14" s="20"/>
      <c r="AH14" s="119"/>
      <c r="AI14" s="19"/>
      <c r="AJ14" s="19"/>
      <c r="AK14" s="19"/>
      <c r="AL14" s="96"/>
      <c r="AM14" s="119"/>
      <c r="AN14" s="19"/>
      <c r="AO14" s="20"/>
      <c r="AP14" s="119"/>
      <c r="AQ14" s="115">
        <f t="shared" si="2"/>
        <v>0</v>
      </c>
      <c r="AR14" s="171">
        <f>IF(OR(Z14="",N(Z14)=0),
IF(
N(H14)+N(I14)=0,
0,
MAX(
IFERROR(VLOOKUP(AE14,'Rating Factors'!$BJ:$BK,2,FALSE),0),
((N(H14)*'Rating Factors'!$BF$2)+(N(I14)*'Rating Factors'!$BG$2))
*IFERROR(VLOOKUP(AE14,'Rating Factors'!$Z:$AA,2,FALSE),1)
*IFERROR(VLOOKUP(AJ14,'Rating Factors'!$AD:$AE,2,FALSE),1)
*IFERROR(VLOOKUP(SUM($H$8:$H$127),'Rating Factors'!$BM:$BN,2),1)
*IFERROR(VLOOKUP(SUM($I$8:$I$127),'Rating Factors'!$BH:$BI,2),1)
)
),
MAX(IFERROR(VLOOKUP(AE14,'Rating Factors'!$BJ:$BL,3,FALSE),0),
((N(I14)*'Rating Factors'!$BG$2))
*IFERROR(VLOOKUP(AE14,'Rating Factors'!$Z:$AA,2,FALSE),1)
*IFERROR(VLOOKUP(AJ14,'Rating Factors'!$AD:$AE,2,FALSE),1)
*N(AA14)* IFERROR(VLOOKUP(G14,'Rating Factors'!$C:$D,2,FALSE),1)*0.0045
))</f>
        <v>0</v>
      </c>
      <c r="AS14" s="172">
        <f t="shared" si="3"/>
        <v>0</v>
      </c>
      <c r="AT14" s="115">
        <f t="shared" si="11"/>
        <v>0</v>
      </c>
      <c r="AU14" s="173" t="str">
        <f t="shared" si="4"/>
        <v/>
      </c>
      <c r="AV14" s="174" t="str">
        <f t="shared" si="5"/>
        <v/>
      </c>
      <c r="AW14" s="119"/>
      <c r="AX14" s="141">
        <f>IF(
  OR(
    IFERROR(VLOOKUP(F14,'Rating Factors'!$A:$B,2,FALSE)="Decline",FALSE),
    IFERROR(VLOOKUP(G14,'Rating Factors'!$C:$D,2,FALSE)="Decline",FALSE),
    IFERROR(VLOOKUP(J14,'Rating Factors'!$F:$G,2,FALSE)="Decline",FALSE),
    IFERROR(VLOOKUP(K14,'Rating Factors'!$H:$I,2,FALSE)="Decline",FALSE),
    IFERROR(VLOOKUP(L14,'Rating Factors'!$J:$K,2,FALSE)="Decline",FALSE),
    IFERROR(VLOOKUP(M14,'Rating Factors'!$L:$M,2,FALSE)="Decline",FALSE),
    IFERROR(VLOOKUP(N14,'Rating Factors'!$N:$O,2,FALSE)="Decline",FALSE),
    IFERROR(VLOOKUP(O14,'Rating Factors'!$P:$Q,2,FALSE)="Decline",FALSE),
    IFERROR(VLOOKUP(P14,'Rating Factors'!$BO:$BP,2,FALSE)="Decline",FALSE),
    IFERROR(VLOOKUP(Q14,'Rating Factors'!$BQ:$BR,2,FALSE)="Decline",FALSE),
    IFERROR(VLOOKUP(R14,'Rating Factors'!$R:$S,2,FALSE)="Decline",FALSE),
    IFERROR(VLOOKUP(S14,'Rating Factors'!$T:$U,2,FALSE)="Decline",FALSE),
    IFERROR(VLOOKUP(T14,'Rating Factors'!$V:$W,2,FALSE)="Decline",FALSE),
    IFERROR(VLOOKUP(U14,'Rating Factors'!$X:$Y,2,FALSE)="Decline",FALSE),
    IFERROR(VLOOKUP(AI14,'Rating Factors'!$AB:$AC,2,FALSE)="Decline",FALSE),
    IFERROR(VLOOKUP(AK14,'Rating Factors'!$AK:$AL,2,FALSE)="Decline",FALSE),
    IFERROR(VLOOKUP(AL14,'Rating Factors'!$AP:$AQ,2,FALSE)="Decline",FALSE)
  ),
  "Declined",
  SUM(
    W14,
    X14,
    Y14*
      IFERROR(VLOOKUP(AD14,'Rating Factors'!$BS:$BT,2,FALSE),1),
    Z14*
      IFERROR(VLOOKUP(AD14,'Rating Factors'!$BS:$BT,2,FALSE),1)*
      IFERROR(VLOOKUP(AC14,'Rating Factors'!$BV:$BW,2,FALSE),1),
  )
  * IFERROR(VLOOKUP(F14,'Rating Factors'!$A:$B,2,FALSE),1)
  * IFERROR(VLOOKUP(G14,'Rating Factors'!$C:$D,2,FALSE),1)
  * IFERROR(VLOOKUP(J14,'Rating Factors'!$F:$G,2,FALSE),1)
  * IFERROR(VLOOKUP(K14,'Rating Factors'!$H:$I,2,FALSE),1)
  * IFERROR(VLOOKUP(L14,'Rating Factors'!$J:$K,2,FALSE),1)
  * IFERROR(VLOOKUP(M14,'Rating Factors'!$L:$M,2,FALSE),1)
  * IFERROR(VLOOKUP(N14,'Rating Factors'!$N:$O,2,FALSE),1)
  * IFERROR(VLOOKUP(O14,'Rating Factors'!$P:$Q,2,FALSE),1)
  * IFERROR(VLOOKUP(P14,'Rating Factors'!$BO:$BP,2,FALSE),1)
  * IFERROR(VLOOKUP(Q14,'Rating Factors'!$BQ:$BR,2,FALSE),1)
  * IFERROR(VLOOKUP(R14,'Rating Factors'!$R:$S,2,FALSE),1)
  * IFERROR(VLOOKUP(S14,'Rating Factors'!$T:$U,2,FALSE),1)
  * IFERROR(VLOOKUP(T14,'Rating Factors'!$V:$W,2,FALSE),1)
  * IFERROR(VLOOKUP(U14,'Rating Factors'!$X:$Y,2,FALSE),1)
  * IFERROR(VLOOKUP(AI14,'Rating Factors'!$AB:$AC,2,FALSE),1)
  * IFERROR(VLOOKUP(AK14,'Rating Factors'!$AK:$AL,2,FALSE),1)
  * IFERROR(VLOOKUP(AL14,'Rating Factors'!$AP:$AQ,2,FALSE),1)
  * IFERROR(LOOKUP(SUM($W$8:$Z$127),'Rating Factors'!$BD:$BD,'Rating Factors'!$BE:$BE),1))</f>
        <v>0</v>
      </c>
      <c r="AY14" s="158">
        <f>IF(OR(AQ14="Declined", AN14&lt;&gt;"Y"),
   0,
   N(AT14)*N('Rating Factors'!$AG$2)/100
)</f>
        <v>0</v>
      </c>
      <c r="AZ14" s="158">
        <f t="shared" si="6"/>
        <v>0</v>
      </c>
      <c r="BA14" s="142">
        <f>_xlfn.LET(
  _xlpm.base_ok, AND(AQ14&lt;&gt;"Declined", N(AQ14)&gt;0),
  _xlpm.is_full, EXACT(AG14, "Full Limit"),
  _xlpm.total_tiv, SUM($AT$8:$AT$127),
  _xlpm.loc_tiv, N(BE14),
  _xlpm.full_rate, N('Rating Factors'!$AO$10),
  _xlpm.min_per_loc, N('Rating Factors'!$AN$10),
  _xlpm.n_locs, N(E11),
  _xlpm.sched_prem, MAX(_xlpm.total_tiv*_xlpm.full_rate, _xlpm.min_per_loc*_xlpm.n_locs),
  _xlpm.alloc_prem, IF(_xlpm.total_tiv=0, 0, _xlpm.sched_prem * _xlpm.loc_tiv / _xlpm.total_tiv),
  _xlpm.cap_prem, IFERROR(VLOOKUP(AG14, 'Rating Factors'!$AM:$AN, 2, FALSE), 0),
  IF(_xlpm.base_ok,
     IF(_xlpm.is_full, _xlpm.alloc_prem, _xlpm.cap_prem),
     0
  )
)</f>
        <v>0</v>
      </c>
      <c r="BB14" s="143">
        <f t="shared" si="0"/>
        <v>0</v>
      </c>
      <c r="BC14" s="144">
        <f t="shared" si="7"/>
        <v>0</v>
      </c>
      <c r="BD14" s="145">
        <f t="shared" si="8"/>
        <v>0</v>
      </c>
      <c r="BE14" s="115">
        <f t="shared" si="1"/>
        <v>0</v>
      </c>
      <c r="BF14" s="106" t="str">
        <f t="shared" si="9"/>
        <v/>
      </c>
      <c r="BG14"/>
      <c r="BI14" s="67" t="str" cm="1">
        <f t="array" ref="BI14">IF(E14="","",LEFT(_xlfn.REGEXEXTRACT(UPPER(E14),"[A-Z][0-9][A-Z][ -]?[0-9][A-Z][0-9]"),3))</f>
        <v/>
      </c>
      <c r="BJ14" s="66" t="str">
        <f>IF(E14="","",_xlfn.XLOOKUP(BI14, CrestaP!B:B, CrestaP!D:D, ""))</f>
        <v/>
      </c>
      <c r="BK14" s="66" t="str">
        <f>IFERROR(
  INDEX(
    CrestaP!H4:M9,
    MATCH(J14, {"Frame","Brick Veneer","Joisted Masonry","Non-Combustible","Masonry Non-Combustible","Fire resistive"}, 0),
    MATCH(TEXT(BJ14,"@"), {"16","E5","E4","E3","E2","E1"}, 0)
  ),
  ""
)</f>
        <v/>
      </c>
    </row>
    <row r="15" spans="2:64" hidden="1" x14ac:dyDescent="0.25">
      <c r="B15"/>
      <c r="C15" s="24">
        <f t="shared" si="10"/>
        <v>8</v>
      </c>
      <c r="D15" s="25" t="s">
        <v>30</v>
      </c>
      <c r="E15" s="175"/>
      <c r="F15" s="89"/>
      <c r="G15" s="89"/>
      <c r="H15" s="104"/>
      <c r="I15" s="104"/>
      <c r="J15" s="89"/>
      <c r="K15" s="89"/>
      <c r="L15" s="89"/>
      <c r="M15" s="89"/>
      <c r="N15" s="89"/>
      <c r="O15" s="89"/>
      <c r="P15" s="104"/>
      <c r="Q15" s="104"/>
      <c r="R15" s="89"/>
      <c r="S15" s="89"/>
      <c r="T15" s="89"/>
      <c r="U15" s="25"/>
      <c r="V15" s="119"/>
      <c r="W15" s="19"/>
      <c r="X15" s="104"/>
      <c r="Y15" s="104"/>
      <c r="Z15" s="104"/>
      <c r="AA15" s="19"/>
      <c r="AB15" s="160" t="str">
        <f>IF(OR(AA15="",G15=""),"",VLOOKUP(G15,'Rating Factors'!$C:$E,3,FALSE)*AA15)</f>
        <v/>
      </c>
      <c r="AC15" s="20"/>
      <c r="AD15" s="20"/>
      <c r="AE15" s="104"/>
      <c r="AF15" s="96"/>
      <c r="AG15" s="20"/>
      <c r="AH15" s="119"/>
      <c r="AI15" s="19"/>
      <c r="AJ15" s="19"/>
      <c r="AK15" s="19"/>
      <c r="AL15" s="96"/>
      <c r="AM15" s="119"/>
      <c r="AN15" s="19"/>
      <c r="AO15" s="20"/>
      <c r="AP15" s="119"/>
      <c r="AQ15" s="115">
        <f t="shared" si="2"/>
        <v>0</v>
      </c>
      <c r="AR15" s="171">
        <f>IF(OR(Z15="",N(Z15)=0),
IF(
N(H15)+N(I15)=0,
0,
MAX(
IFERROR(VLOOKUP(AE15,'Rating Factors'!$BJ:$BK,2,FALSE),0),
((N(H15)*'Rating Factors'!$BF$2)+(N(I15)*'Rating Factors'!$BG$2))
*IFERROR(VLOOKUP(AE15,'Rating Factors'!$Z:$AA,2,FALSE),1)
*IFERROR(VLOOKUP(AJ15,'Rating Factors'!$AD:$AE,2,FALSE),1)
*IFERROR(VLOOKUP(SUM($H$8:$H$127),'Rating Factors'!$BM:$BN,2),1)
*IFERROR(VLOOKUP(SUM($I$8:$I$127),'Rating Factors'!$BH:$BI,2),1)
)
),
MAX(IFERROR(VLOOKUP(AE15,'Rating Factors'!$BJ:$BL,3,FALSE),0),
((N(I15)*'Rating Factors'!$BG$2))
*IFERROR(VLOOKUP(AE15,'Rating Factors'!$Z:$AA,2,FALSE),1)
*IFERROR(VLOOKUP(AJ15,'Rating Factors'!$AD:$AE,2,FALSE),1)
*N(AA15)* IFERROR(VLOOKUP(G15,'Rating Factors'!$C:$D,2,FALSE),1)*0.0045
))</f>
        <v>0</v>
      </c>
      <c r="AS15" s="172">
        <f t="shared" si="3"/>
        <v>0</v>
      </c>
      <c r="AT15" s="115">
        <f t="shared" si="11"/>
        <v>0</v>
      </c>
      <c r="AU15" s="173" t="str">
        <f t="shared" si="4"/>
        <v/>
      </c>
      <c r="AV15" s="174" t="str">
        <f t="shared" si="5"/>
        <v/>
      </c>
      <c r="AW15" s="119"/>
      <c r="AX15" s="141">
        <f>IF(
  OR(
    IFERROR(VLOOKUP(F15,'Rating Factors'!$A:$B,2,FALSE)="Decline",FALSE),
    IFERROR(VLOOKUP(G15,'Rating Factors'!$C:$D,2,FALSE)="Decline",FALSE),
    IFERROR(VLOOKUP(J15,'Rating Factors'!$F:$G,2,FALSE)="Decline",FALSE),
    IFERROR(VLOOKUP(K15,'Rating Factors'!$H:$I,2,FALSE)="Decline",FALSE),
    IFERROR(VLOOKUP(L15,'Rating Factors'!$J:$K,2,FALSE)="Decline",FALSE),
    IFERROR(VLOOKUP(M15,'Rating Factors'!$L:$M,2,FALSE)="Decline",FALSE),
    IFERROR(VLOOKUP(N15,'Rating Factors'!$N:$O,2,FALSE)="Decline",FALSE),
    IFERROR(VLOOKUP(O15,'Rating Factors'!$P:$Q,2,FALSE)="Decline",FALSE),
    IFERROR(VLOOKUP(P15,'Rating Factors'!$BO:$BP,2,FALSE)="Decline",FALSE),
    IFERROR(VLOOKUP(Q15,'Rating Factors'!$BQ:$BR,2,FALSE)="Decline",FALSE),
    IFERROR(VLOOKUP(R15,'Rating Factors'!$R:$S,2,FALSE)="Decline",FALSE),
    IFERROR(VLOOKUP(S15,'Rating Factors'!$T:$U,2,FALSE)="Decline",FALSE),
    IFERROR(VLOOKUP(T15,'Rating Factors'!$V:$W,2,FALSE)="Decline",FALSE),
    IFERROR(VLOOKUP(U15,'Rating Factors'!$X:$Y,2,FALSE)="Decline",FALSE),
    IFERROR(VLOOKUP(AI15,'Rating Factors'!$AB:$AC,2,FALSE)="Decline",FALSE),
    IFERROR(VLOOKUP(AK15,'Rating Factors'!$AK:$AL,2,FALSE)="Decline",FALSE),
    IFERROR(VLOOKUP(AL15,'Rating Factors'!$AP:$AQ,2,FALSE)="Decline",FALSE)
  ),
  "Declined",
  SUM(
    W15,
    X15,
    Y15*
      IFERROR(VLOOKUP(AD15,'Rating Factors'!$BS:$BT,2,FALSE),1),
    Z15*
      IFERROR(VLOOKUP(AD15,'Rating Factors'!$BS:$BT,2,FALSE),1)*
      IFERROR(VLOOKUP(AC15,'Rating Factors'!$BV:$BW,2,FALSE),1),
  )
  * IFERROR(VLOOKUP(F15,'Rating Factors'!$A:$B,2,FALSE),1)
  * IFERROR(VLOOKUP(G15,'Rating Factors'!$C:$D,2,FALSE),1)
  * IFERROR(VLOOKUP(J15,'Rating Factors'!$F:$G,2,FALSE),1)
  * IFERROR(VLOOKUP(K15,'Rating Factors'!$H:$I,2,FALSE),1)
  * IFERROR(VLOOKUP(L15,'Rating Factors'!$J:$K,2,FALSE),1)
  * IFERROR(VLOOKUP(M15,'Rating Factors'!$L:$M,2,FALSE),1)
  * IFERROR(VLOOKUP(N15,'Rating Factors'!$N:$O,2,FALSE),1)
  * IFERROR(VLOOKUP(O15,'Rating Factors'!$P:$Q,2,FALSE),1)
  * IFERROR(VLOOKUP(P15,'Rating Factors'!$BO:$BP,2,FALSE),1)
  * IFERROR(VLOOKUP(Q15,'Rating Factors'!$BQ:$BR,2,FALSE),1)
  * IFERROR(VLOOKUP(R15,'Rating Factors'!$R:$S,2,FALSE),1)
  * IFERROR(VLOOKUP(S15,'Rating Factors'!$T:$U,2,FALSE),1)
  * IFERROR(VLOOKUP(T15,'Rating Factors'!$V:$W,2,FALSE),1)
  * IFERROR(VLOOKUP(U15,'Rating Factors'!$X:$Y,2,FALSE),1)
  * IFERROR(VLOOKUP(AI15,'Rating Factors'!$AB:$AC,2,FALSE),1)
  * IFERROR(VLOOKUP(AK15,'Rating Factors'!$AK:$AL,2,FALSE),1)
  * IFERROR(VLOOKUP(AL15,'Rating Factors'!$AP:$AQ,2,FALSE),1)
  * IFERROR(LOOKUP(SUM($W$8:$Z$127),'Rating Factors'!$BD:$BD,'Rating Factors'!$BE:$BE),1))</f>
        <v>0</v>
      </c>
      <c r="AY15" s="158">
        <f>IF(OR(AQ15="Declined", AN15&lt;&gt;"Y"),
   0,
   N(AT15)*N('Rating Factors'!$AG$2)/100
)</f>
        <v>0</v>
      </c>
      <c r="AZ15" s="158">
        <f t="shared" si="6"/>
        <v>0</v>
      </c>
      <c r="BA15" s="142">
        <f>_xlfn.LET(
  _xlpm.base_ok, AND(AQ15&lt;&gt;"Declined", N(AQ15)&gt;0),
  _xlpm.is_full, EXACT(AG15, "Full Limit"),
  _xlpm.total_tiv, SUM($AT$8:$AT$127),
  _xlpm.loc_tiv, N(BE15),
  _xlpm.full_rate, N('Rating Factors'!$AO$10),
  _xlpm.min_per_loc, N('Rating Factors'!$AN$10),
  _xlpm.n_locs, N(E12),
  _xlpm.sched_prem, MAX(_xlpm.total_tiv*_xlpm.full_rate, _xlpm.min_per_loc*_xlpm.n_locs),
  _xlpm.alloc_prem, IF(_xlpm.total_tiv=0, 0, _xlpm.sched_prem * _xlpm.loc_tiv / _xlpm.total_tiv),
  _xlpm.cap_prem, IFERROR(VLOOKUP(AG15, 'Rating Factors'!$AM:$AN, 2, FALSE), 0),
  IF(_xlpm.base_ok,
     IF(_xlpm.is_full, _xlpm.alloc_prem, _xlpm.cap_prem),
     0
  )
)</f>
        <v>0</v>
      </c>
      <c r="BB15" s="143">
        <f t="shared" si="0"/>
        <v>0</v>
      </c>
      <c r="BC15" s="144">
        <f t="shared" si="7"/>
        <v>0</v>
      </c>
      <c r="BD15" s="145">
        <f t="shared" si="8"/>
        <v>0</v>
      </c>
      <c r="BE15" s="115">
        <f t="shared" si="1"/>
        <v>0</v>
      </c>
      <c r="BF15" s="106" t="str">
        <f t="shared" si="9"/>
        <v/>
      </c>
      <c r="BG15"/>
      <c r="BI15" s="67" t="str" cm="1">
        <f t="array" ref="BI15">IF(E15="","",LEFT(_xlfn.REGEXEXTRACT(UPPER(E15),"[A-Z][0-9][A-Z][ -]?[0-9][A-Z][0-9]"),3))</f>
        <v/>
      </c>
      <c r="BJ15" s="66" t="str">
        <f>IF(E15="","",_xlfn.XLOOKUP(BI15, CrestaP!B:B, CrestaP!D:D, ""))</f>
        <v/>
      </c>
      <c r="BK15" s="66" t="str">
        <f>IFERROR(
  INDEX(
    CrestaP!H4:M9,
    MATCH(J15, {"Frame","Brick Veneer","Joisted Masonry","Non-Combustible","Masonry Non-Combustible","Fire resistive"}, 0),
    MATCH(TEXT(BJ15,"@"), {"16","E5","E4","E3","E2","E1"}, 0)
  ),
  ""
)</f>
        <v/>
      </c>
    </row>
    <row r="16" spans="2:64" hidden="1" x14ac:dyDescent="0.25">
      <c r="B16"/>
      <c r="C16" s="24">
        <f t="shared" si="10"/>
        <v>9</v>
      </c>
      <c r="D16" s="25" t="s">
        <v>30</v>
      </c>
      <c r="E16" s="175"/>
      <c r="F16" s="89"/>
      <c r="G16" s="89"/>
      <c r="H16" s="104"/>
      <c r="I16" s="104"/>
      <c r="J16" s="89"/>
      <c r="K16" s="89"/>
      <c r="L16" s="89"/>
      <c r="M16" s="89"/>
      <c r="N16" s="89"/>
      <c r="O16" s="89"/>
      <c r="P16" s="104"/>
      <c r="Q16" s="104"/>
      <c r="R16" s="89"/>
      <c r="S16" s="89"/>
      <c r="T16" s="89"/>
      <c r="U16" s="25"/>
      <c r="V16" s="119"/>
      <c r="W16" s="19"/>
      <c r="X16" s="104"/>
      <c r="Y16" s="104"/>
      <c r="Z16" s="104"/>
      <c r="AA16" s="19"/>
      <c r="AB16" s="160" t="str">
        <f>IF(OR(AA16="",G16=""),"",VLOOKUP(G16,'Rating Factors'!$C:$E,3,FALSE)*AA16)</f>
        <v/>
      </c>
      <c r="AC16" s="20"/>
      <c r="AD16" s="20"/>
      <c r="AE16" s="104"/>
      <c r="AF16" s="96"/>
      <c r="AG16" s="20"/>
      <c r="AH16" s="119"/>
      <c r="AI16" s="19"/>
      <c r="AJ16" s="19"/>
      <c r="AK16" s="19"/>
      <c r="AL16" s="96"/>
      <c r="AM16" s="119"/>
      <c r="AN16" s="19"/>
      <c r="AO16" s="20"/>
      <c r="AP16" s="119"/>
      <c r="AQ16" s="115">
        <f t="shared" si="2"/>
        <v>0</v>
      </c>
      <c r="AR16" s="171">
        <f>IF(OR(Z16="",N(Z16)=0),
IF(
N(H16)+N(I16)=0,
0,
MAX(
IFERROR(VLOOKUP(AE16,'Rating Factors'!$BJ:$BK,2,FALSE),0),
((N(H16)*'Rating Factors'!$BF$2)+(N(I16)*'Rating Factors'!$BG$2))
*IFERROR(VLOOKUP(AE16,'Rating Factors'!$Z:$AA,2,FALSE),1)
*IFERROR(VLOOKUP(AJ16,'Rating Factors'!$AD:$AE,2,FALSE),1)
*IFERROR(VLOOKUP(SUM($H$8:$H$127),'Rating Factors'!$BM:$BN,2),1)
*IFERROR(VLOOKUP(SUM($I$8:$I$127),'Rating Factors'!$BH:$BI,2),1)
)
),
MAX(IFERROR(VLOOKUP(AE16,'Rating Factors'!$BJ:$BL,3,FALSE),0),
((N(I16)*'Rating Factors'!$BG$2))
*IFERROR(VLOOKUP(AE16,'Rating Factors'!$Z:$AA,2,FALSE),1)
*IFERROR(VLOOKUP(AJ16,'Rating Factors'!$AD:$AE,2,FALSE),1)
*N(AA16)* IFERROR(VLOOKUP(G16,'Rating Factors'!$C:$D,2,FALSE),1)*0.0045
))</f>
        <v>0</v>
      </c>
      <c r="AS16" s="172">
        <f t="shared" si="3"/>
        <v>0</v>
      </c>
      <c r="AT16" s="115">
        <f t="shared" si="11"/>
        <v>0</v>
      </c>
      <c r="AU16" s="173" t="str">
        <f t="shared" si="4"/>
        <v/>
      </c>
      <c r="AV16" s="174" t="str">
        <f t="shared" si="5"/>
        <v/>
      </c>
      <c r="AW16" s="119"/>
      <c r="AX16" s="141">
        <f>IF(
  OR(
    IFERROR(VLOOKUP(F16,'Rating Factors'!$A:$B,2,FALSE)="Decline",FALSE),
    IFERROR(VLOOKUP(G16,'Rating Factors'!$C:$D,2,FALSE)="Decline",FALSE),
    IFERROR(VLOOKUP(J16,'Rating Factors'!$F:$G,2,FALSE)="Decline",FALSE),
    IFERROR(VLOOKUP(K16,'Rating Factors'!$H:$I,2,FALSE)="Decline",FALSE),
    IFERROR(VLOOKUP(L16,'Rating Factors'!$J:$K,2,FALSE)="Decline",FALSE),
    IFERROR(VLOOKUP(M16,'Rating Factors'!$L:$M,2,FALSE)="Decline",FALSE),
    IFERROR(VLOOKUP(N16,'Rating Factors'!$N:$O,2,FALSE)="Decline",FALSE),
    IFERROR(VLOOKUP(O16,'Rating Factors'!$P:$Q,2,FALSE)="Decline",FALSE),
    IFERROR(VLOOKUP(P16,'Rating Factors'!$BO:$BP,2,FALSE)="Decline",FALSE),
    IFERROR(VLOOKUP(Q16,'Rating Factors'!$BQ:$BR,2,FALSE)="Decline",FALSE),
    IFERROR(VLOOKUP(R16,'Rating Factors'!$R:$S,2,FALSE)="Decline",FALSE),
    IFERROR(VLOOKUP(S16,'Rating Factors'!$T:$U,2,FALSE)="Decline",FALSE),
    IFERROR(VLOOKUP(T16,'Rating Factors'!$V:$W,2,FALSE)="Decline",FALSE),
    IFERROR(VLOOKUP(U16,'Rating Factors'!$X:$Y,2,FALSE)="Decline",FALSE),
    IFERROR(VLOOKUP(AI16,'Rating Factors'!$AB:$AC,2,FALSE)="Decline",FALSE),
    IFERROR(VLOOKUP(AK16,'Rating Factors'!$AK:$AL,2,FALSE)="Decline",FALSE),
    IFERROR(VLOOKUP(AL16,'Rating Factors'!$AP:$AQ,2,FALSE)="Decline",FALSE)
  ),
  "Declined",
  SUM(
    W16,
    X16,
    Y16*
      IFERROR(VLOOKUP(AD16,'Rating Factors'!$BS:$BT,2,FALSE),1),
    Z16*
      IFERROR(VLOOKUP(AD16,'Rating Factors'!$BS:$BT,2,FALSE),1)*
      IFERROR(VLOOKUP(AC16,'Rating Factors'!$BV:$BW,2,FALSE),1),
  )
  * IFERROR(VLOOKUP(F16,'Rating Factors'!$A:$B,2,FALSE),1)
  * IFERROR(VLOOKUP(G16,'Rating Factors'!$C:$D,2,FALSE),1)
  * IFERROR(VLOOKUP(J16,'Rating Factors'!$F:$G,2,FALSE),1)
  * IFERROR(VLOOKUP(K16,'Rating Factors'!$H:$I,2,FALSE),1)
  * IFERROR(VLOOKUP(L16,'Rating Factors'!$J:$K,2,FALSE),1)
  * IFERROR(VLOOKUP(M16,'Rating Factors'!$L:$M,2,FALSE),1)
  * IFERROR(VLOOKUP(N16,'Rating Factors'!$N:$O,2,FALSE),1)
  * IFERROR(VLOOKUP(O16,'Rating Factors'!$P:$Q,2,FALSE),1)
  * IFERROR(VLOOKUP(P16,'Rating Factors'!$BO:$BP,2,FALSE),1)
  * IFERROR(VLOOKUP(Q16,'Rating Factors'!$BQ:$BR,2,FALSE),1)
  * IFERROR(VLOOKUP(R16,'Rating Factors'!$R:$S,2,FALSE),1)
  * IFERROR(VLOOKUP(S16,'Rating Factors'!$T:$U,2,FALSE),1)
  * IFERROR(VLOOKUP(T16,'Rating Factors'!$V:$W,2,FALSE),1)
  * IFERROR(VLOOKUP(U16,'Rating Factors'!$X:$Y,2,FALSE),1)
  * IFERROR(VLOOKUP(AI16,'Rating Factors'!$AB:$AC,2,FALSE),1)
  * IFERROR(VLOOKUP(AK16,'Rating Factors'!$AK:$AL,2,FALSE),1)
  * IFERROR(VLOOKUP(AL16,'Rating Factors'!$AP:$AQ,2,FALSE),1)
  * IFERROR(LOOKUP(SUM($W$8:$Z$127),'Rating Factors'!$BD:$BD,'Rating Factors'!$BE:$BE),1))</f>
        <v>0</v>
      </c>
      <c r="AY16" s="158">
        <f>IF(OR(AQ16="Declined", AN16&lt;&gt;"Y"),
   0,
   N(AT16)*N('Rating Factors'!$AG$2)/100
)</f>
        <v>0</v>
      </c>
      <c r="AZ16" s="158">
        <f t="shared" si="6"/>
        <v>0</v>
      </c>
      <c r="BA16" s="142">
        <f>_xlfn.LET(
  _xlpm.base_ok, AND(AQ16&lt;&gt;"Declined", N(AQ16)&gt;0),
  _xlpm.is_full, EXACT(AG16, "Full Limit"),
  _xlpm.total_tiv, SUM($AT$8:$AT$127),
  _xlpm.loc_tiv, N(BE16),
  _xlpm.full_rate, N('Rating Factors'!$AO$10),
  _xlpm.min_per_loc, N('Rating Factors'!$AN$10),
  _xlpm.n_locs, N(E13),
  _xlpm.sched_prem, MAX(_xlpm.total_tiv*_xlpm.full_rate, _xlpm.min_per_loc*_xlpm.n_locs),
  _xlpm.alloc_prem, IF(_xlpm.total_tiv=0, 0, _xlpm.sched_prem * _xlpm.loc_tiv / _xlpm.total_tiv),
  _xlpm.cap_prem, IFERROR(VLOOKUP(AG16, 'Rating Factors'!$AM:$AN, 2, FALSE), 0),
  IF(_xlpm.base_ok,
     IF(_xlpm.is_full, _xlpm.alloc_prem, _xlpm.cap_prem),
     0
  )
)</f>
        <v>0</v>
      </c>
      <c r="BB16" s="143">
        <f t="shared" si="0"/>
        <v>0</v>
      </c>
      <c r="BC16" s="144">
        <f t="shared" si="7"/>
        <v>0</v>
      </c>
      <c r="BD16" s="145">
        <f t="shared" si="8"/>
        <v>0</v>
      </c>
      <c r="BE16" s="115">
        <f t="shared" si="1"/>
        <v>0</v>
      </c>
      <c r="BF16" s="106" t="str">
        <f t="shared" si="9"/>
        <v/>
      </c>
      <c r="BG16"/>
      <c r="BI16" s="67" t="str" cm="1">
        <f t="array" ref="BI16">IF(E16="","",LEFT(_xlfn.REGEXEXTRACT(UPPER(E16),"[A-Z][0-9][A-Z][ -]?[0-9][A-Z][0-9]"),3))</f>
        <v/>
      </c>
      <c r="BJ16" s="66" t="str">
        <f>IF(E16="","",_xlfn.XLOOKUP(BI16, CrestaP!B:B, CrestaP!D:D, ""))</f>
        <v/>
      </c>
      <c r="BK16" s="66" t="str">
        <f>IFERROR(
  INDEX(
    CrestaP!H4:M9,
    MATCH(J16, {"Frame","Brick Veneer","Joisted Masonry","Non-Combustible","Masonry Non-Combustible","Fire resistive"}, 0),
    MATCH(TEXT(BJ16,"@"), {"16","E5","E4","E3","E2","E1"}, 0)
  ),
  ""
)</f>
        <v/>
      </c>
    </row>
    <row r="17" spans="2:63" hidden="1" x14ac:dyDescent="0.25">
      <c r="B17"/>
      <c r="C17" s="24">
        <f t="shared" si="10"/>
        <v>10</v>
      </c>
      <c r="D17" s="25" t="s">
        <v>30</v>
      </c>
      <c r="E17" s="175"/>
      <c r="F17" s="89"/>
      <c r="G17" s="89"/>
      <c r="H17" s="104"/>
      <c r="I17" s="104"/>
      <c r="J17" s="89"/>
      <c r="K17" s="89"/>
      <c r="L17" s="89"/>
      <c r="M17" s="89"/>
      <c r="N17" s="89"/>
      <c r="O17" s="89"/>
      <c r="P17" s="104"/>
      <c r="Q17" s="104"/>
      <c r="R17" s="89"/>
      <c r="S17" s="89"/>
      <c r="T17" s="89"/>
      <c r="U17" s="25"/>
      <c r="V17" s="119"/>
      <c r="W17" s="19"/>
      <c r="X17" s="104"/>
      <c r="Y17" s="104"/>
      <c r="Z17" s="104"/>
      <c r="AA17" s="19"/>
      <c r="AB17" s="160" t="str">
        <f>IF(OR(AA17="",G17=""),"",VLOOKUP(G17,'Rating Factors'!$C:$E,3,FALSE)*AA17)</f>
        <v/>
      </c>
      <c r="AC17" s="20"/>
      <c r="AD17" s="20"/>
      <c r="AE17" s="104"/>
      <c r="AF17" s="96"/>
      <c r="AG17" s="20"/>
      <c r="AH17" s="119"/>
      <c r="AI17" s="19"/>
      <c r="AJ17" s="19"/>
      <c r="AK17" s="19"/>
      <c r="AL17" s="96"/>
      <c r="AM17" s="119"/>
      <c r="AN17" s="19"/>
      <c r="AO17" s="20"/>
      <c r="AP17" s="119"/>
      <c r="AQ17" s="115">
        <f t="shared" si="2"/>
        <v>0</v>
      </c>
      <c r="AR17" s="171">
        <f>IF(OR(Z17="",N(Z17)=0),
IF(
N(H17)+N(I17)=0,
0,
MAX(
IFERROR(VLOOKUP(AE17,'Rating Factors'!$BJ:$BK,2,FALSE),0),
((N(H17)*'Rating Factors'!$BF$2)+(N(I17)*'Rating Factors'!$BG$2))
*IFERROR(VLOOKUP(AE17,'Rating Factors'!$Z:$AA,2,FALSE),1)
*IFERROR(VLOOKUP(AJ17,'Rating Factors'!$AD:$AE,2,FALSE),1)
*IFERROR(VLOOKUP(SUM($H$8:$H$127),'Rating Factors'!$BM:$BN,2),1)
*IFERROR(VLOOKUP(SUM($I$8:$I$127),'Rating Factors'!$BH:$BI,2),1)
)
),
MAX(IFERROR(VLOOKUP(AE17,'Rating Factors'!$BJ:$BL,3,FALSE),0),
((N(I17)*'Rating Factors'!$BG$2))
*IFERROR(VLOOKUP(AE17,'Rating Factors'!$Z:$AA,2,FALSE),1)
*IFERROR(VLOOKUP(AJ17,'Rating Factors'!$AD:$AE,2,FALSE),1)
*N(AA17)* IFERROR(VLOOKUP(G17,'Rating Factors'!$C:$D,2,FALSE),1)*0.0045
))</f>
        <v>0</v>
      </c>
      <c r="AS17" s="172">
        <f t="shared" si="3"/>
        <v>0</v>
      </c>
      <c r="AT17" s="115">
        <f t="shared" si="11"/>
        <v>0</v>
      </c>
      <c r="AU17" s="173" t="str">
        <f t="shared" si="4"/>
        <v/>
      </c>
      <c r="AV17" s="174" t="str">
        <f t="shared" si="5"/>
        <v/>
      </c>
      <c r="AW17" s="119"/>
      <c r="AX17" s="141">
        <f>IF(
  OR(
    IFERROR(VLOOKUP(F17,'Rating Factors'!$A:$B,2,FALSE)="Decline",FALSE),
    IFERROR(VLOOKUP(G17,'Rating Factors'!$C:$D,2,FALSE)="Decline",FALSE),
    IFERROR(VLOOKUP(J17,'Rating Factors'!$F:$G,2,FALSE)="Decline",FALSE),
    IFERROR(VLOOKUP(K17,'Rating Factors'!$H:$I,2,FALSE)="Decline",FALSE),
    IFERROR(VLOOKUP(L17,'Rating Factors'!$J:$K,2,FALSE)="Decline",FALSE),
    IFERROR(VLOOKUP(M17,'Rating Factors'!$L:$M,2,FALSE)="Decline",FALSE),
    IFERROR(VLOOKUP(N17,'Rating Factors'!$N:$O,2,FALSE)="Decline",FALSE),
    IFERROR(VLOOKUP(O17,'Rating Factors'!$P:$Q,2,FALSE)="Decline",FALSE),
    IFERROR(VLOOKUP(P17,'Rating Factors'!$BO:$BP,2,FALSE)="Decline",FALSE),
    IFERROR(VLOOKUP(Q17,'Rating Factors'!$BQ:$BR,2,FALSE)="Decline",FALSE),
    IFERROR(VLOOKUP(R17,'Rating Factors'!$R:$S,2,FALSE)="Decline",FALSE),
    IFERROR(VLOOKUP(S17,'Rating Factors'!$T:$U,2,FALSE)="Decline",FALSE),
    IFERROR(VLOOKUP(T17,'Rating Factors'!$V:$W,2,FALSE)="Decline",FALSE),
    IFERROR(VLOOKUP(U17,'Rating Factors'!$X:$Y,2,FALSE)="Decline",FALSE),
    IFERROR(VLOOKUP(AI17,'Rating Factors'!$AB:$AC,2,FALSE)="Decline",FALSE),
    IFERROR(VLOOKUP(AK17,'Rating Factors'!$AK:$AL,2,FALSE)="Decline",FALSE),
    IFERROR(VLOOKUP(AL17,'Rating Factors'!$AP:$AQ,2,FALSE)="Decline",FALSE)
  ),
  "Declined",
  SUM(
    W17,
    X17,
    Y17*
      IFERROR(VLOOKUP(AD17,'Rating Factors'!$BS:$BT,2,FALSE),1),
    Z17*
      IFERROR(VLOOKUP(AD17,'Rating Factors'!$BS:$BT,2,FALSE),1)*
      IFERROR(VLOOKUP(AC17,'Rating Factors'!$BV:$BW,2,FALSE),1),
  )
  * IFERROR(VLOOKUP(F17,'Rating Factors'!$A:$B,2,FALSE),1)
  * IFERROR(VLOOKUP(G17,'Rating Factors'!$C:$D,2,FALSE),1)
  * IFERROR(VLOOKUP(J17,'Rating Factors'!$F:$G,2,FALSE),1)
  * IFERROR(VLOOKUP(K17,'Rating Factors'!$H:$I,2,FALSE),1)
  * IFERROR(VLOOKUP(L17,'Rating Factors'!$J:$K,2,FALSE),1)
  * IFERROR(VLOOKUP(M17,'Rating Factors'!$L:$M,2,FALSE),1)
  * IFERROR(VLOOKUP(N17,'Rating Factors'!$N:$O,2,FALSE),1)
  * IFERROR(VLOOKUP(O17,'Rating Factors'!$P:$Q,2,FALSE),1)
  * IFERROR(VLOOKUP(P17,'Rating Factors'!$BO:$BP,2,FALSE),1)
  * IFERROR(VLOOKUP(Q17,'Rating Factors'!$BQ:$BR,2,FALSE),1)
  * IFERROR(VLOOKUP(R17,'Rating Factors'!$R:$S,2,FALSE),1)
  * IFERROR(VLOOKUP(S17,'Rating Factors'!$T:$U,2,FALSE),1)
  * IFERROR(VLOOKUP(T17,'Rating Factors'!$V:$W,2,FALSE),1)
  * IFERROR(VLOOKUP(U17,'Rating Factors'!$X:$Y,2,FALSE),1)
  * IFERROR(VLOOKUP(AI17,'Rating Factors'!$AB:$AC,2,FALSE),1)
  * IFERROR(VLOOKUP(AK17,'Rating Factors'!$AK:$AL,2,FALSE),1)
  * IFERROR(VLOOKUP(AL17,'Rating Factors'!$AP:$AQ,2,FALSE),1)
  * IFERROR(LOOKUP(SUM($W$8:$Z$127),'Rating Factors'!$BD:$BD,'Rating Factors'!$BE:$BE),1))</f>
        <v>0</v>
      </c>
      <c r="AY17" s="158">
        <f>IF(OR(AQ17="Declined", AN17&lt;&gt;"Y"),
   0,
   N(AT17)*N('Rating Factors'!$AG$2)/100
)</f>
        <v>0</v>
      </c>
      <c r="AZ17" s="158">
        <f t="shared" si="6"/>
        <v>0</v>
      </c>
      <c r="BA17" s="142">
        <f>_xlfn.LET(
  _xlpm.base_ok, AND(AQ17&lt;&gt;"Declined", N(AQ17)&gt;0),
  _xlpm.is_full, EXACT(AG17, "Full Limit"),
  _xlpm.total_tiv, SUM($AT$8:$AT$127),
  _xlpm.loc_tiv, N(BE17),
  _xlpm.full_rate, N('Rating Factors'!$AO$10),
  _xlpm.min_per_loc, N('Rating Factors'!$AN$10),
  _xlpm.n_locs, N(E14),
  _xlpm.sched_prem, MAX(_xlpm.total_tiv*_xlpm.full_rate, _xlpm.min_per_loc*_xlpm.n_locs),
  _xlpm.alloc_prem, IF(_xlpm.total_tiv=0, 0, _xlpm.sched_prem * _xlpm.loc_tiv / _xlpm.total_tiv),
  _xlpm.cap_prem, IFERROR(VLOOKUP(AG17, 'Rating Factors'!$AM:$AN, 2, FALSE), 0),
  IF(_xlpm.base_ok,
     IF(_xlpm.is_full, _xlpm.alloc_prem, _xlpm.cap_prem),
     0
  )
)</f>
        <v>0</v>
      </c>
      <c r="BB17" s="143">
        <f t="shared" si="0"/>
        <v>0</v>
      </c>
      <c r="BC17" s="144">
        <f t="shared" si="7"/>
        <v>0</v>
      </c>
      <c r="BD17" s="145">
        <f t="shared" si="8"/>
        <v>0</v>
      </c>
      <c r="BE17" s="115">
        <f t="shared" si="1"/>
        <v>0</v>
      </c>
      <c r="BF17" s="106" t="str">
        <f t="shared" si="9"/>
        <v/>
      </c>
      <c r="BG17"/>
      <c r="BI17" s="67" t="str" cm="1">
        <f t="array" ref="BI17">IF(E17="","",LEFT(_xlfn.REGEXEXTRACT(UPPER(E17),"[A-Z][0-9][A-Z][ -]?[0-9][A-Z][0-9]"),3))</f>
        <v/>
      </c>
      <c r="BJ17" s="66" t="str">
        <f>IF(E17="","",_xlfn.XLOOKUP(BI17, CrestaP!B:B, CrestaP!D:D, ""))</f>
        <v/>
      </c>
      <c r="BK17" s="66" t="str">
        <f>IFERROR(
  INDEX(
    CrestaP!H4:M9,
    MATCH(J17, {"Frame","Brick Veneer","Joisted Masonry","Non-Combustible","Masonry Non-Combustible","Fire resistive"}, 0),
    MATCH(TEXT(BJ17,"@"), {"16","E5","E4","E3","E2","E1"}, 0)
  ),
  ""
)</f>
        <v/>
      </c>
    </row>
    <row r="18" spans="2:63" hidden="1" x14ac:dyDescent="0.25">
      <c r="B18"/>
      <c r="C18" s="24">
        <f t="shared" si="10"/>
        <v>11</v>
      </c>
      <c r="D18" s="25" t="s">
        <v>30</v>
      </c>
      <c r="E18" s="175"/>
      <c r="F18" s="89"/>
      <c r="G18" s="89"/>
      <c r="H18" s="104"/>
      <c r="I18" s="104"/>
      <c r="J18" s="89"/>
      <c r="K18" s="89"/>
      <c r="L18" s="89"/>
      <c r="M18" s="89"/>
      <c r="N18" s="89"/>
      <c r="O18" s="89"/>
      <c r="P18" s="104"/>
      <c r="Q18" s="104"/>
      <c r="R18" s="89"/>
      <c r="S18" s="89"/>
      <c r="T18" s="89"/>
      <c r="U18" s="25"/>
      <c r="V18" s="119"/>
      <c r="W18" s="19"/>
      <c r="X18" s="104"/>
      <c r="Y18" s="104"/>
      <c r="Z18" s="104"/>
      <c r="AA18" s="19"/>
      <c r="AB18" s="160" t="str">
        <f>IF(OR(AA18="",G18=""),"",VLOOKUP(G18,'Rating Factors'!$C:$E,3,FALSE)*AA18)</f>
        <v/>
      </c>
      <c r="AC18" s="20"/>
      <c r="AD18" s="20"/>
      <c r="AE18" s="104"/>
      <c r="AF18" s="96"/>
      <c r="AG18" s="20"/>
      <c r="AH18" s="119"/>
      <c r="AI18" s="19"/>
      <c r="AJ18" s="19"/>
      <c r="AK18" s="19"/>
      <c r="AL18" s="96"/>
      <c r="AM18" s="119"/>
      <c r="AN18" s="19"/>
      <c r="AO18" s="20"/>
      <c r="AP18" s="119"/>
      <c r="AQ18" s="115">
        <f t="shared" si="2"/>
        <v>0</v>
      </c>
      <c r="AR18" s="171">
        <f>IF(OR(Z18="",N(Z18)=0),
IF(
N(H18)+N(I18)=0,
0,
MAX(
IFERROR(VLOOKUP(AE18,'Rating Factors'!$BJ:$BK,2,FALSE),0),
((N(H18)*'Rating Factors'!$BF$2)+(N(I18)*'Rating Factors'!$BG$2))
*IFERROR(VLOOKUP(AE18,'Rating Factors'!$Z:$AA,2,FALSE),1)
*IFERROR(VLOOKUP(AJ18,'Rating Factors'!$AD:$AE,2,FALSE),1)
*IFERROR(VLOOKUP(SUM($H$8:$H$127),'Rating Factors'!$BM:$BN,2),1)
*IFERROR(VLOOKUP(SUM($I$8:$I$127),'Rating Factors'!$BH:$BI,2),1)
)
),
MAX(IFERROR(VLOOKUP(AE18,'Rating Factors'!$BJ:$BL,3,FALSE),0),
((N(I18)*'Rating Factors'!$BG$2))
*IFERROR(VLOOKUP(AE18,'Rating Factors'!$Z:$AA,2,FALSE),1)
*IFERROR(VLOOKUP(AJ18,'Rating Factors'!$AD:$AE,2,FALSE),1)
*N(AA18)* IFERROR(VLOOKUP(G18,'Rating Factors'!$C:$D,2,FALSE),1)*0.0045
))</f>
        <v>0</v>
      </c>
      <c r="AS18" s="172">
        <f t="shared" si="3"/>
        <v>0</v>
      </c>
      <c r="AT18" s="115">
        <f t="shared" si="11"/>
        <v>0</v>
      </c>
      <c r="AU18" s="173" t="str">
        <f t="shared" si="4"/>
        <v/>
      </c>
      <c r="AV18" s="174" t="str">
        <f t="shared" si="5"/>
        <v/>
      </c>
      <c r="AW18" s="119"/>
      <c r="AX18" s="141">
        <f>IF(
  OR(
    IFERROR(VLOOKUP(F18,'Rating Factors'!$A:$B,2,FALSE)="Decline",FALSE),
    IFERROR(VLOOKUP(G18,'Rating Factors'!$C:$D,2,FALSE)="Decline",FALSE),
    IFERROR(VLOOKUP(J18,'Rating Factors'!$F:$G,2,FALSE)="Decline",FALSE),
    IFERROR(VLOOKUP(K18,'Rating Factors'!$H:$I,2,FALSE)="Decline",FALSE),
    IFERROR(VLOOKUP(L18,'Rating Factors'!$J:$K,2,FALSE)="Decline",FALSE),
    IFERROR(VLOOKUP(M18,'Rating Factors'!$L:$M,2,FALSE)="Decline",FALSE),
    IFERROR(VLOOKUP(N18,'Rating Factors'!$N:$O,2,FALSE)="Decline",FALSE),
    IFERROR(VLOOKUP(O18,'Rating Factors'!$P:$Q,2,FALSE)="Decline",FALSE),
    IFERROR(VLOOKUP(P18,'Rating Factors'!$BO:$BP,2,FALSE)="Decline",FALSE),
    IFERROR(VLOOKUP(Q18,'Rating Factors'!$BQ:$BR,2,FALSE)="Decline",FALSE),
    IFERROR(VLOOKUP(R18,'Rating Factors'!$R:$S,2,FALSE)="Decline",FALSE),
    IFERROR(VLOOKUP(S18,'Rating Factors'!$T:$U,2,FALSE)="Decline",FALSE),
    IFERROR(VLOOKUP(T18,'Rating Factors'!$V:$W,2,FALSE)="Decline",FALSE),
    IFERROR(VLOOKUP(U18,'Rating Factors'!$X:$Y,2,FALSE)="Decline",FALSE),
    IFERROR(VLOOKUP(AI18,'Rating Factors'!$AB:$AC,2,FALSE)="Decline",FALSE),
    IFERROR(VLOOKUP(AK18,'Rating Factors'!$AK:$AL,2,FALSE)="Decline",FALSE),
    IFERROR(VLOOKUP(AL18,'Rating Factors'!$AP:$AQ,2,FALSE)="Decline",FALSE)
  ),
  "Declined",
  SUM(
    W18,
    X18,
    Y18*
      IFERROR(VLOOKUP(AD18,'Rating Factors'!$BS:$BT,2,FALSE),1),
    Z18*
      IFERROR(VLOOKUP(AD18,'Rating Factors'!$BS:$BT,2,FALSE),1)*
      IFERROR(VLOOKUP(AC18,'Rating Factors'!$BV:$BW,2,FALSE),1),
  )
  * IFERROR(VLOOKUP(F18,'Rating Factors'!$A:$B,2,FALSE),1)
  * IFERROR(VLOOKUP(G18,'Rating Factors'!$C:$D,2,FALSE),1)
  * IFERROR(VLOOKUP(J18,'Rating Factors'!$F:$G,2,FALSE),1)
  * IFERROR(VLOOKUP(K18,'Rating Factors'!$H:$I,2,FALSE),1)
  * IFERROR(VLOOKUP(L18,'Rating Factors'!$J:$K,2,FALSE),1)
  * IFERROR(VLOOKUP(M18,'Rating Factors'!$L:$M,2,FALSE),1)
  * IFERROR(VLOOKUP(N18,'Rating Factors'!$N:$O,2,FALSE),1)
  * IFERROR(VLOOKUP(O18,'Rating Factors'!$P:$Q,2,FALSE),1)
  * IFERROR(VLOOKUP(P18,'Rating Factors'!$BO:$BP,2,FALSE),1)
  * IFERROR(VLOOKUP(Q18,'Rating Factors'!$BQ:$BR,2,FALSE),1)
  * IFERROR(VLOOKUP(R18,'Rating Factors'!$R:$S,2,FALSE),1)
  * IFERROR(VLOOKUP(S18,'Rating Factors'!$T:$U,2,FALSE),1)
  * IFERROR(VLOOKUP(T18,'Rating Factors'!$V:$W,2,FALSE),1)
  * IFERROR(VLOOKUP(U18,'Rating Factors'!$X:$Y,2,FALSE),1)
  * IFERROR(VLOOKUP(AI18,'Rating Factors'!$AB:$AC,2,FALSE),1)
  * IFERROR(VLOOKUP(AK18,'Rating Factors'!$AK:$AL,2,FALSE),1)
  * IFERROR(VLOOKUP(AL18,'Rating Factors'!$AP:$AQ,2,FALSE),1)
  * IFERROR(LOOKUP(SUM($W$8:$Z$127),'Rating Factors'!$BD:$BD,'Rating Factors'!$BE:$BE),1))</f>
        <v>0</v>
      </c>
      <c r="AY18" s="158">
        <f>IF(OR(AQ18="Declined", AN18&lt;&gt;"Y"),
   0,
   N(AT18)*N('Rating Factors'!$AG$2)/100
)</f>
        <v>0</v>
      </c>
      <c r="AZ18" s="158">
        <f t="shared" si="6"/>
        <v>0</v>
      </c>
      <c r="BA18" s="142">
        <f>_xlfn.LET(
  _xlpm.base_ok, AND(AQ18&lt;&gt;"Declined", N(AQ18)&gt;0),
  _xlpm.is_full, EXACT(AG18, "Full Limit"),
  _xlpm.total_tiv, SUM($AT$8:$AT$127),
  _xlpm.loc_tiv, N(BE18),
  _xlpm.full_rate, N('Rating Factors'!$AO$10),
  _xlpm.min_per_loc, N('Rating Factors'!$AN$10),
  _xlpm.n_locs, N(E15),
  _xlpm.sched_prem, MAX(_xlpm.total_tiv*_xlpm.full_rate, _xlpm.min_per_loc*_xlpm.n_locs),
  _xlpm.alloc_prem, IF(_xlpm.total_tiv=0, 0, _xlpm.sched_prem * _xlpm.loc_tiv / _xlpm.total_tiv),
  _xlpm.cap_prem, IFERROR(VLOOKUP(AG18, 'Rating Factors'!$AM:$AN, 2, FALSE), 0),
  IF(_xlpm.base_ok,
     IF(_xlpm.is_full, _xlpm.alloc_prem, _xlpm.cap_prem),
     0
  )
)</f>
        <v>0</v>
      </c>
      <c r="BB18" s="143">
        <f t="shared" si="0"/>
        <v>0</v>
      </c>
      <c r="BC18" s="144">
        <f t="shared" si="7"/>
        <v>0</v>
      </c>
      <c r="BD18" s="145">
        <f t="shared" si="8"/>
        <v>0</v>
      </c>
      <c r="BE18" s="115">
        <f t="shared" si="1"/>
        <v>0</v>
      </c>
      <c r="BF18" s="106" t="str">
        <f t="shared" si="9"/>
        <v/>
      </c>
      <c r="BG18"/>
      <c r="BI18" s="67" t="str" cm="1">
        <f t="array" ref="BI18">IF(E18="","",LEFT(_xlfn.REGEXEXTRACT(UPPER(E18),"[A-Z][0-9][A-Z][ -]?[0-9][A-Z][0-9]"),3))</f>
        <v/>
      </c>
      <c r="BJ18" s="66" t="str">
        <f>IF(E18="","",_xlfn.XLOOKUP(BI18, CrestaP!B:B, CrestaP!D:D, ""))</f>
        <v/>
      </c>
      <c r="BK18" s="66" t="str">
        <f>IFERROR(
  INDEX(
    CrestaP!H4:M9,
    MATCH(J18, {"Frame","Brick Veneer","Joisted Masonry","Non-Combustible","Masonry Non-Combustible","Fire resistive"}, 0),
    MATCH(TEXT(BJ18,"@"), {"16","E5","E4","E3","E2","E1"}, 0)
  ),
  ""
)</f>
        <v/>
      </c>
    </row>
    <row r="19" spans="2:63" hidden="1" x14ac:dyDescent="0.25">
      <c r="B19"/>
      <c r="C19" s="24">
        <f t="shared" si="10"/>
        <v>12</v>
      </c>
      <c r="D19" s="25" t="s">
        <v>30</v>
      </c>
      <c r="E19" s="175"/>
      <c r="F19" s="89"/>
      <c r="G19" s="89"/>
      <c r="H19" s="104"/>
      <c r="I19" s="104"/>
      <c r="J19" s="89"/>
      <c r="K19" s="89"/>
      <c r="L19" s="89"/>
      <c r="M19" s="89"/>
      <c r="N19" s="89"/>
      <c r="O19" s="89"/>
      <c r="P19" s="104"/>
      <c r="Q19" s="104"/>
      <c r="R19" s="89"/>
      <c r="S19" s="89"/>
      <c r="T19" s="89"/>
      <c r="U19" s="25"/>
      <c r="V19" s="119"/>
      <c r="W19" s="19"/>
      <c r="X19" s="104"/>
      <c r="Y19" s="104"/>
      <c r="Z19" s="104"/>
      <c r="AA19" s="19"/>
      <c r="AB19" s="160" t="str">
        <f>IF(OR(AA19="",G19=""),"",VLOOKUP(G19,'Rating Factors'!$C:$E,3,FALSE)*AA19)</f>
        <v/>
      </c>
      <c r="AC19" s="20"/>
      <c r="AD19" s="20"/>
      <c r="AE19" s="104"/>
      <c r="AF19" s="96"/>
      <c r="AG19" s="20"/>
      <c r="AH19" s="119"/>
      <c r="AI19" s="19"/>
      <c r="AJ19" s="19"/>
      <c r="AK19" s="19"/>
      <c r="AL19" s="96"/>
      <c r="AM19" s="119"/>
      <c r="AN19" s="19"/>
      <c r="AO19" s="20"/>
      <c r="AP19" s="119"/>
      <c r="AQ19" s="115">
        <f t="shared" si="2"/>
        <v>0</v>
      </c>
      <c r="AR19" s="171">
        <f>IF(OR(Z19="",N(Z19)=0),
IF(
N(H19)+N(I19)=0,
0,
MAX(
IFERROR(VLOOKUP(AE19,'Rating Factors'!$BJ:$BK,2,FALSE),0),
((N(H19)*'Rating Factors'!$BF$2)+(N(I19)*'Rating Factors'!$BG$2))
*IFERROR(VLOOKUP(AE19,'Rating Factors'!$Z:$AA,2,FALSE),1)
*IFERROR(VLOOKUP(AJ19,'Rating Factors'!$AD:$AE,2,FALSE),1)
*IFERROR(VLOOKUP(SUM($H$8:$H$127),'Rating Factors'!$BM:$BN,2),1)
*IFERROR(VLOOKUP(SUM($I$8:$I$127),'Rating Factors'!$BH:$BI,2),1)
)
),
MAX(IFERROR(VLOOKUP(AE19,'Rating Factors'!$BJ:$BL,3,FALSE),0),
((N(I19)*'Rating Factors'!$BG$2))
*IFERROR(VLOOKUP(AE19,'Rating Factors'!$Z:$AA,2,FALSE),1)
*IFERROR(VLOOKUP(AJ19,'Rating Factors'!$AD:$AE,2,FALSE),1)
*N(AA19)* IFERROR(VLOOKUP(G19,'Rating Factors'!$C:$D,2,FALSE),1)*0.0045
))</f>
        <v>0</v>
      </c>
      <c r="AS19" s="172">
        <f t="shared" si="3"/>
        <v>0</v>
      </c>
      <c r="AT19" s="115">
        <f t="shared" si="11"/>
        <v>0</v>
      </c>
      <c r="AU19" s="173" t="str">
        <f t="shared" si="4"/>
        <v/>
      </c>
      <c r="AV19" s="174" t="str">
        <f t="shared" si="5"/>
        <v/>
      </c>
      <c r="AW19" s="119"/>
      <c r="AX19" s="141">
        <f>IF(
  OR(
    IFERROR(VLOOKUP(F19,'Rating Factors'!$A:$B,2,FALSE)="Decline",FALSE),
    IFERROR(VLOOKUP(G19,'Rating Factors'!$C:$D,2,FALSE)="Decline",FALSE),
    IFERROR(VLOOKUP(J19,'Rating Factors'!$F:$G,2,FALSE)="Decline",FALSE),
    IFERROR(VLOOKUP(K19,'Rating Factors'!$H:$I,2,FALSE)="Decline",FALSE),
    IFERROR(VLOOKUP(L19,'Rating Factors'!$J:$K,2,FALSE)="Decline",FALSE),
    IFERROR(VLOOKUP(M19,'Rating Factors'!$L:$M,2,FALSE)="Decline",FALSE),
    IFERROR(VLOOKUP(N19,'Rating Factors'!$N:$O,2,FALSE)="Decline",FALSE),
    IFERROR(VLOOKUP(O19,'Rating Factors'!$P:$Q,2,FALSE)="Decline",FALSE),
    IFERROR(VLOOKUP(P19,'Rating Factors'!$BO:$BP,2,FALSE)="Decline",FALSE),
    IFERROR(VLOOKUP(Q19,'Rating Factors'!$BQ:$BR,2,FALSE)="Decline",FALSE),
    IFERROR(VLOOKUP(R19,'Rating Factors'!$R:$S,2,FALSE)="Decline",FALSE),
    IFERROR(VLOOKUP(S19,'Rating Factors'!$T:$U,2,FALSE)="Decline",FALSE),
    IFERROR(VLOOKUP(T19,'Rating Factors'!$V:$W,2,FALSE)="Decline",FALSE),
    IFERROR(VLOOKUP(U19,'Rating Factors'!$X:$Y,2,FALSE)="Decline",FALSE),
    IFERROR(VLOOKUP(AI19,'Rating Factors'!$AB:$AC,2,FALSE)="Decline",FALSE),
    IFERROR(VLOOKUP(AK19,'Rating Factors'!$AK:$AL,2,FALSE)="Decline",FALSE),
    IFERROR(VLOOKUP(AL19,'Rating Factors'!$AP:$AQ,2,FALSE)="Decline",FALSE)
  ),
  "Declined",
  SUM(
    W19,
    X19,
    Y19*
      IFERROR(VLOOKUP(AD19,'Rating Factors'!$BS:$BT,2,FALSE),1),
    Z19*
      IFERROR(VLOOKUP(AD19,'Rating Factors'!$BS:$BT,2,FALSE),1)*
      IFERROR(VLOOKUP(AC19,'Rating Factors'!$BV:$BW,2,FALSE),1),
  )
  * IFERROR(VLOOKUP(F19,'Rating Factors'!$A:$B,2,FALSE),1)
  * IFERROR(VLOOKUP(G19,'Rating Factors'!$C:$D,2,FALSE),1)
  * IFERROR(VLOOKUP(J19,'Rating Factors'!$F:$G,2,FALSE),1)
  * IFERROR(VLOOKUP(K19,'Rating Factors'!$H:$I,2,FALSE),1)
  * IFERROR(VLOOKUP(L19,'Rating Factors'!$J:$K,2,FALSE),1)
  * IFERROR(VLOOKUP(M19,'Rating Factors'!$L:$M,2,FALSE),1)
  * IFERROR(VLOOKUP(N19,'Rating Factors'!$N:$O,2,FALSE),1)
  * IFERROR(VLOOKUP(O19,'Rating Factors'!$P:$Q,2,FALSE),1)
  * IFERROR(VLOOKUP(P19,'Rating Factors'!$BO:$BP,2,FALSE),1)
  * IFERROR(VLOOKUP(Q19,'Rating Factors'!$BQ:$BR,2,FALSE),1)
  * IFERROR(VLOOKUP(R19,'Rating Factors'!$R:$S,2,FALSE),1)
  * IFERROR(VLOOKUP(S19,'Rating Factors'!$T:$U,2,FALSE),1)
  * IFERROR(VLOOKUP(T19,'Rating Factors'!$V:$W,2,FALSE),1)
  * IFERROR(VLOOKUP(U19,'Rating Factors'!$X:$Y,2,FALSE),1)
  * IFERROR(VLOOKUP(AI19,'Rating Factors'!$AB:$AC,2,FALSE),1)
  * IFERROR(VLOOKUP(AK19,'Rating Factors'!$AK:$AL,2,FALSE),1)
  * IFERROR(VLOOKUP(AL19,'Rating Factors'!$AP:$AQ,2,FALSE),1)
  * IFERROR(LOOKUP(SUM($W$8:$Z$127),'Rating Factors'!$BD:$BD,'Rating Factors'!$BE:$BE),1))</f>
        <v>0</v>
      </c>
      <c r="AY19" s="158">
        <f>IF(OR(AQ19="Declined", AN19&lt;&gt;"Y"),
   0,
   N(AT19)*N('Rating Factors'!$AG$2)/100
)</f>
        <v>0</v>
      </c>
      <c r="AZ19" s="158">
        <f t="shared" si="6"/>
        <v>0</v>
      </c>
      <c r="BA19" s="142">
        <f>_xlfn.LET(
  _xlpm.base_ok, AND(AQ19&lt;&gt;"Declined", N(AQ19)&gt;0),
  _xlpm.is_full, EXACT(AG19, "Full Limit"),
  _xlpm.total_tiv, SUM($AT$8:$AT$127),
  _xlpm.loc_tiv, N(BE19),
  _xlpm.full_rate, N('Rating Factors'!$AO$10),
  _xlpm.min_per_loc, N('Rating Factors'!$AN$10),
  _xlpm.n_locs, N(E16),
  _xlpm.sched_prem, MAX(_xlpm.total_tiv*_xlpm.full_rate, _xlpm.min_per_loc*_xlpm.n_locs),
  _xlpm.alloc_prem, IF(_xlpm.total_tiv=0, 0, _xlpm.sched_prem * _xlpm.loc_tiv / _xlpm.total_tiv),
  _xlpm.cap_prem, IFERROR(VLOOKUP(AG19, 'Rating Factors'!$AM:$AN, 2, FALSE), 0),
  IF(_xlpm.base_ok,
     IF(_xlpm.is_full, _xlpm.alloc_prem, _xlpm.cap_prem),
     0
  )
)</f>
        <v>0</v>
      </c>
      <c r="BB19" s="143">
        <f t="shared" si="0"/>
        <v>0</v>
      </c>
      <c r="BC19" s="144">
        <f t="shared" si="7"/>
        <v>0</v>
      </c>
      <c r="BD19" s="145">
        <f t="shared" si="8"/>
        <v>0</v>
      </c>
      <c r="BE19" s="115">
        <f t="shared" si="1"/>
        <v>0</v>
      </c>
      <c r="BF19" s="106" t="str">
        <f t="shared" si="9"/>
        <v/>
      </c>
      <c r="BG19"/>
      <c r="BI19" s="67" t="str" cm="1">
        <f t="array" ref="BI19">IF(E19="","",LEFT(_xlfn.REGEXEXTRACT(UPPER(E19),"[A-Z][0-9][A-Z][ -]?[0-9][A-Z][0-9]"),3))</f>
        <v/>
      </c>
      <c r="BJ19" s="66" t="str">
        <f>IF(E19="","",_xlfn.XLOOKUP(BI19, CrestaP!B:B, CrestaP!D:D, ""))</f>
        <v/>
      </c>
      <c r="BK19" s="66" t="str">
        <f>IFERROR(
  INDEX(
    CrestaP!H4:M9,
    MATCH(J19, {"Frame","Brick Veneer","Joisted Masonry","Non-Combustible","Masonry Non-Combustible","Fire resistive"}, 0),
    MATCH(TEXT(BJ19,"@"), {"16","E5","E4","E3","E2","E1"}, 0)
  ),
  ""
)</f>
        <v/>
      </c>
    </row>
    <row r="20" spans="2:63" hidden="1" x14ac:dyDescent="0.25">
      <c r="B20"/>
      <c r="C20" s="24">
        <f t="shared" si="10"/>
        <v>13</v>
      </c>
      <c r="D20" s="25" t="s">
        <v>30</v>
      </c>
      <c r="E20" s="175"/>
      <c r="F20" s="89"/>
      <c r="G20" s="89"/>
      <c r="H20" s="104"/>
      <c r="I20" s="104"/>
      <c r="J20" s="89"/>
      <c r="K20" s="89"/>
      <c r="L20" s="89"/>
      <c r="M20" s="89"/>
      <c r="N20" s="89"/>
      <c r="O20" s="89"/>
      <c r="P20" s="104"/>
      <c r="Q20" s="104"/>
      <c r="R20" s="89"/>
      <c r="S20" s="89"/>
      <c r="T20" s="89"/>
      <c r="U20" s="25"/>
      <c r="V20" s="119"/>
      <c r="W20" s="19"/>
      <c r="X20" s="104"/>
      <c r="Y20" s="104"/>
      <c r="Z20" s="104"/>
      <c r="AA20" s="19"/>
      <c r="AB20" s="160" t="str">
        <f>IF(OR(AA20="",G20=""),"",VLOOKUP(G20,'Rating Factors'!$C:$E,3,FALSE)*AA20)</f>
        <v/>
      </c>
      <c r="AC20" s="20"/>
      <c r="AD20" s="20"/>
      <c r="AE20" s="104"/>
      <c r="AF20" s="96"/>
      <c r="AG20" s="20"/>
      <c r="AH20" s="119"/>
      <c r="AI20" s="19"/>
      <c r="AJ20" s="19"/>
      <c r="AK20" s="19"/>
      <c r="AL20" s="96"/>
      <c r="AM20" s="119"/>
      <c r="AN20" s="19"/>
      <c r="AO20" s="20"/>
      <c r="AP20" s="119"/>
      <c r="AQ20" s="115">
        <f t="shared" si="2"/>
        <v>0</v>
      </c>
      <c r="AR20" s="171">
        <f>IF(OR(Z20="",N(Z20)=0),
IF(
N(H20)+N(I20)=0,
0,
MAX(
IFERROR(VLOOKUP(AE20,'Rating Factors'!$BJ:$BK,2,FALSE),0),
((N(H20)*'Rating Factors'!$BF$2)+(N(I20)*'Rating Factors'!$BG$2))
*IFERROR(VLOOKUP(AE20,'Rating Factors'!$Z:$AA,2,FALSE),1)
*IFERROR(VLOOKUP(AJ20,'Rating Factors'!$AD:$AE,2,FALSE),1)
*IFERROR(VLOOKUP(SUM($H$8:$H$127),'Rating Factors'!$BM:$BN,2),1)
*IFERROR(VLOOKUP(SUM($I$8:$I$127),'Rating Factors'!$BH:$BI,2),1)
)
),
MAX(IFERROR(VLOOKUP(AE20,'Rating Factors'!$BJ:$BL,3,FALSE),0),
((N(I20)*'Rating Factors'!$BG$2))
*IFERROR(VLOOKUP(AE20,'Rating Factors'!$Z:$AA,2,FALSE),1)
*IFERROR(VLOOKUP(AJ20,'Rating Factors'!$AD:$AE,2,FALSE),1)
*N(AA20)* IFERROR(VLOOKUP(G20,'Rating Factors'!$C:$D,2,FALSE),1)*0.0045
))</f>
        <v>0</v>
      </c>
      <c r="AS20" s="172">
        <f t="shared" si="3"/>
        <v>0</v>
      </c>
      <c r="AT20" s="115">
        <f t="shared" si="11"/>
        <v>0</v>
      </c>
      <c r="AU20" s="173" t="str">
        <f t="shared" si="4"/>
        <v/>
      </c>
      <c r="AV20" s="174" t="str">
        <f t="shared" si="5"/>
        <v/>
      </c>
      <c r="AW20" s="119"/>
      <c r="AX20" s="141">
        <f>IF(
  OR(
    IFERROR(VLOOKUP(F20,'Rating Factors'!$A:$B,2,FALSE)="Decline",FALSE),
    IFERROR(VLOOKUP(G20,'Rating Factors'!$C:$D,2,FALSE)="Decline",FALSE),
    IFERROR(VLOOKUP(J20,'Rating Factors'!$F:$G,2,FALSE)="Decline",FALSE),
    IFERROR(VLOOKUP(K20,'Rating Factors'!$H:$I,2,FALSE)="Decline",FALSE),
    IFERROR(VLOOKUP(L20,'Rating Factors'!$J:$K,2,FALSE)="Decline",FALSE),
    IFERROR(VLOOKUP(M20,'Rating Factors'!$L:$M,2,FALSE)="Decline",FALSE),
    IFERROR(VLOOKUP(N20,'Rating Factors'!$N:$O,2,FALSE)="Decline",FALSE),
    IFERROR(VLOOKUP(O20,'Rating Factors'!$P:$Q,2,FALSE)="Decline",FALSE),
    IFERROR(VLOOKUP(P20,'Rating Factors'!$BO:$BP,2,FALSE)="Decline",FALSE),
    IFERROR(VLOOKUP(Q20,'Rating Factors'!$BQ:$BR,2,FALSE)="Decline",FALSE),
    IFERROR(VLOOKUP(R20,'Rating Factors'!$R:$S,2,FALSE)="Decline",FALSE),
    IFERROR(VLOOKUP(S20,'Rating Factors'!$T:$U,2,FALSE)="Decline",FALSE),
    IFERROR(VLOOKUP(T20,'Rating Factors'!$V:$W,2,FALSE)="Decline",FALSE),
    IFERROR(VLOOKUP(U20,'Rating Factors'!$X:$Y,2,FALSE)="Decline",FALSE),
    IFERROR(VLOOKUP(AI20,'Rating Factors'!$AB:$AC,2,FALSE)="Decline",FALSE),
    IFERROR(VLOOKUP(AK20,'Rating Factors'!$AK:$AL,2,FALSE)="Decline",FALSE),
    IFERROR(VLOOKUP(AL20,'Rating Factors'!$AP:$AQ,2,FALSE)="Decline",FALSE)
  ),
  "Declined",
  SUM(
    W20,
    X20,
    Y20*
      IFERROR(VLOOKUP(AD20,'Rating Factors'!$BS:$BT,2,FALSE),1),
    Z20*
      IFERROR(VLOOKUP(AD20,'Rating Factors'!$BS:$BT,2,FALSE),1)*
      IFERROR(VLOOKUP(AC20,'Rating Factors'!$BV:$BW,2,FALSE),1),
  )
  * IFERROR(VLOOKUP(F20,'Rating Factors'!$A:$B,2,FALSE),1)
  * IFERROR(VLOOKUP(G20,'Rating Factors'!$C:$D,2,FALSE),1)
  * IFERROR(VLOOKUP(J20,'Rating Factors'!$F:$G,2,FALSE),1)
  * IFERROR(VLOOKUP(K20,'Rating Factors'!$H:$I,2,FALSE),1)
  * IFERROR(VLOOKUP(L20,'Rating Factors'!$J:$K,2,FALSE),1)
  * IFERROR(VLOOKUP(M20,'Rating Factors'!$L:$M,2,FALSE),1)
  * IFERROR(VLOOKUP(N20,'Rating Factors'!$N:$O,2,FALSE),1)
  * IFERROR(VLOOKUP(O20,'Rating Factors'!$P:$Q,2,FALSE),1)
  * IFERROR(VLOOKUP(P20,'Rating Factors'!$BO:$BP,2,FALSE),1)
  * IFERROR(VLOOKUP(Q20,'Rating Factors'!$BQ:$BR,2,FALSE),1)
  * IFERROR(VLOOKUP(R20,'Rating Factors'!$R:$S,2,FALSE),1)
  * IFERROR(VLOOKUP(S20,'Rating Factors'!$T:$U,2,FALSE),1)
  * IFERROR(VLOOKUP(T20,'Rating Factors'!$V:$W,2,FALSE),1)
  * IFERROR(VLOOKUP(U20,'Rating Factors'!$X:$Y,2,FALSE),1)
  * IFERROR(VLOOKUP(AI20,'Rating Factors'!$AB:$AC,2,FALSE),1)
  * IFERROR(VLOOKUP(AK20,'Rating Factors'!$AK:$AL,2,FALSE),1)
  * IFERROR(VLOOKUP(AL20,'Rating Factors'!$AP:$AQ,2,FALSE),1)
  * IFERROR(LOOKUP(SUM($W$8:$Z$127),'Rating Factors'!$BD:$BD,'Rating Factors'!$BE:$BE),1))</f>
        <v>0</v>
      </c>
      <c r="AY20" s="158">
        <f>IF(OR(AQ20="Declined", AN20&lt;&gt;"Y"),
   0,
   N(AT20)*N('Rating Factors'!$AG$2)/100
)</f>
        <v>0</v>
      </c>
      <c r="AZ20" s="158">
        <f t="shared" si="6"/>
        <v>0</v>
      </c>
      <c r="BA20" s="142">
        <f>_xlfn.LET(
  _xlpm.base_ok, AND(AQ20&lt;&gt;"Declined", N(AQ20)&gt;0),
  _xlpm.is_full, EXACT(AG20, "Full Limit"),
  _xlpm.total_tiv, SUM($AT$8:$AT$127),
  _xlpm.loc_tiv, N(BE20),
  _xlpm.full_rate, N('Rating Factors'!$AO$10),
  _xlpm.min_per_loc, N('Rating Factors'!$AN$10),
  _xlpm.n_locs, N(E17),
  _xlpm.sched_prem, MAX(_xlpm.total_tiv*_xlpm.full_rate, _xlpm.min_per_loc*_xlpm.n_locs),
  _xlpm.alloc_prem, IF(_xlpm.total_tiv=0, 0, _xlpm.sched_prem * _xlpm.loc_tiv / _xlpm.total_tiv),
  _xlpm.cap_prem, IFERROR(VLOOKUP(AG20, 'Rating Factors'!$AM:$AN, 2, FALSE), 0),
  IF(_xlpm.base_ok,
     IF(_xlpm.is_full, _xlpm.alloc_prem, _xlpm.cap_prem),
     0
  )
)</f>
        <v>0</v>
      </c>
      <c r="BB20" s="143">
        <f t="shared" si="0"/>
        <v>0</v>
      </c>
      <c r="BC20" s="144">
        <f t="shared" si="7"/>
        <v>0</v>
      </c>
      <c r="BD20" s="145">
        <f t="shared" si="8"/>
        <v>0</v>
      </c>
      <c r="BE20" s="115">
        <f t="shared" si="1"/>
        <v>0</v>
      </c>
      <c r="BF20" s="106" t="str">
        <f t="shared" si="9"/>
        <v/>
      </c>
      <c r="BG20"/>
      <c r="BI20" s="67" t="str" cm="1">
        <f t="array" ref="BI20">IF(E20="","",LEFT(_xlfn.REGEXEXTRACT(UPPER(E20),"[A-Z][0-9][A-Z][ -]?[0-9][A-Z][0-9]"),3))</f>
        <v/>
      </c>
      <c r="BJ20" s="66" t="str">
        <f>IF(E20="","",_xlfn.XLOOKUP(BI20, CrestaP!B:B, CrestaP!D:D, ""))</f>
        <v/>
      </c>
      <c r="BK20" s="66" t="str">
        <f>IFERROR(
  INDEX(
    CrestaP!H4:M9,
    MATCH(J20, {"Frame","Brick Veneer","Joisted Masonry","Non-Combustible","Masonry Non-Combustible","Fire resistive"}, 0),
    MATCH(TEXT(BJ20,"@"), {"16","E5","E4","E3","E2","E1"}, 0)
  ),
  ""
)</f>
        <v/>
      </c>
    </row>
    <row r="21" spans="2:63" hidden="1" x14ac:dyDescent="0.25">
      <c r="B21"/>
      <c r="C21" s="24">
        <f t="shared" si="10"/>
        <v>14</v>
      </c>
      <c r="D21" s="25" t="s">
        <v>30</v>
      </c>
      <c r="E21" s="175"/>
      <c r="F21" s="89"/>
      <c r="G21" s="89"/>
      <c r="H21" s="104"/>
      <c r="I21" s="104"/>
      <c r="J21" s="89"/>
      <c r="K21" s="89"/>
      <c r="L21" s="89"/>
      <c r="M21" s="89"/>
      <c r="N21" s="89"/>
      <c r="O21" s="89"/>
      <c r="P21" s="104"/>
      <c r="Q21" s="104"/>
      <c r="R21" s="89"/>
      <c r="S21" s="89"/>
      <c r="T21" s="89"/>
      <c r="U21" s="25"/>
      <c r="V21" s="119"/>
      <c r="W21" s="19"/>
      <c r="X21" s="104"/>
      <c r="Y21" s="104"/>
      <c r="Z21" s="104"/>
      <c r="AA21" s="19"/>
      <c r="AB21" s="160" t="str">
        <f>IF(OR(AA21="",G21=""),"",VLOOKUP(G21,'Rating Factors'!$C:$E,3,FALSE)*AA21)</f>
        <v/>
      </c>
      <c r="AC21" s="20"/>
      <c r="AD21" s="20"/>
      <c r="AE21" s="104"/>
      <c r="AF21" s="96"/>
      <c r="AG21" s="20"/>
      <c r="AH21" s="119"/>
      <c r="AI21" s="19"/>
      <c r="AJ21" s="19"/>
      <c r="AK21" s="19"/>
      <c r="AL21" s="96"/>
      <c r="AM21" s="119"/>
      <c r="AN21" s="19"/>
      <c r="AO21" s="20"/>
      <c r="AP21" s="119"/>
      <c r="AQ21" s="115">
        <f t="shared" si="2"/>
        <v>0</v>
      </c>
      <c r="AR21" s="171">
        <f>IF(OR(Z21="",N(Z21)=0),
IF(
N(H21)+N(I21)=0,
0,
MAX(
IFERROR(VLOOKUP(AE21,'Rating Factors'!$BJ:$BK,2,FALSE),0),
((N(H21)*'Rating Factors'!$BF$2)+(N(I21)*'Rating Factors'!$BG$2))
*IFERROR(VLOOKUP(AE21,'Rating Factors'!$Z:$AA,2,FALSE),1)
*IFERROR(VLOOKUP(AJ21,'Rating Factors'!$AD:$AE,2,FALSE),1)
*IFERROR(VLOOKUP(SUM($H$8:$H$127),'Rating Factors'!$BM:$BN,2),1)
*IFERROR(VLOOKUP(SUM($I$8:$I$127),'Rating Factors'!$BH:$BI,2),1)
)
),
MAX(IFERROR(VLOOKUP(AE21,'Rating Factors'!$BJ:$BL,3,FALSE),0),
((N(I21)*'Rating Factors'!$BG$2))
*IFERROR(VLOOKUP(AE21,'Rating Factors'!$Z:$AA,2,FALSE),1)
*IFERROR(VLOOKUP(AJ21,'Rating Factors'!$AD:$AE,2,FALSE),1)
*N(AA21)* IFERROR(VLOOKUP(G21,'Rating Factors'!$C:$D,2,FALSE),1)*0.0045
))</f>
        <v>0</v>
      </c>
      <c r="AS21" s="172">
        <f t="shared" si="3"/>
        <v>0</v>
      </c>
      <c r="AT21" s="115">
        <f t="shared" si="11"/>
        <v>0</v>
      </c>
      <c r="AU21" s="173" t="str">
        <f t="shared" si="4"/>
        <v/>
      </c>
      <c r="AV21" s="174" t="str">
        <f t="shared" si="5"/>
        <v/>
      </c>
      <c r="AW21" s="119"/>
      <c r="AX21" s="141">
        <f>IF(
  OR(
    IFERROR(VLOOKUP(F21,'Rating Factors'!$A:$B,2,FALSE)="Decline",FALSE),
    IFERROR(VLOOKUP(G21,'Rating Factors'!$C:$D,2,FALSE)="Decline",FALSE),
    IFERROR(VLOOKUP(J21,'Rating Factors'!$F:$G,2,FALSE)="Decline",FALSE),
    IFERROR(VLOOKUP(K21,'Rating Factors'!$H:$I,2,FALSE)="Decline",FALSE),
    IFERROR(VLOOKUP(L21,'Rating Factors'!$J:$K,2,FALSE)="Decline",FALSE),
    IFERROR(VLOOKUP(M21,'Rating Factors'!$L:$M,2,FALSE)="Decline",FALSE),
    IFERROR(VLOOKUP(N21,'Rating Factors'!$N:$O,2,FALSE)="Decline",FALSE),
    IFERROR(VLOOKUP(O21,'Rating Factors'!$P:$Q,2,FALSE)="Decline",FALSE),
    IFERROR(VLOOKUP(P21,'Rating Factors'!$BO:$BP,2,FALSE)="Decline",FALSE),
    IFERROR(VLOOKUP(Q21,'Rating Factors'!$BQ:$BR,2,FALSE)="Decline",FALSE),
    IFERROR(VLOOKUP(R21,'Rating Factors'!$R:$S,2,FALSE)="Decline",FALSE),
    IFERROR(VLOOKUP(S21,'Rating Factors'!$T:$U,2,FALSE)="Decline",FALSE),
    IFERROR(VLOOKUP(T21,'Rating Factors'!$V:$W,2,FALSE)="Decline",FALSE),
    IFERROR(VLOOKUP(U21,'Rating Factors'!$X:$Y,2,FALSE)="Decline",FALSE),
    IFERROR(VLOOKUP(AI21,'Rating Factors'!$AB:$AC,2,FALSE)="Decline",FALSE),
    IFERROR(VLOOKUP(AK21,'Rating Factors'!$AK:$AL,2,FALSE)="Decline",FALSE),
    IFERROR(VLOOKUP(AL21,'Rating Factors'!$AP:$AQ,2,FALSE)="Decline",FALSE)
  ),
  "Declined",
  SUM(
    W21,
    X21,
    Y21*
      IFERROR(VLOOKUP(AD21,'Rating Factors'!$BS:$BT,2,FALSE),1),
    Z21*
      IFERROR(VLOOKUP(AD21,'Rating Factors'!$BS:$BT,2,FALSE),1)*
      IFERROR(VLOOKUP(AC21,'Rating Factors'!$BV:$BW,2,FALSE),1),
  )
  * IFERROR(VLOOKUP(F21,'Rating Factors'!$A:$B,2,FALSE),1)
  * IFERROR(VLOOKUP(G21,'Rating Factors'!$C:$D,2,FALSE),1)
  * IFERROR(VLOOKUP(J21,'Rating Factors'!$F:$G,2,FALSE),1)
  * IFERROR(VLOOKUP(K21,'Rating Factors'!$H:$I,2,FALSE),1)
  * IFERROR(VLOOKUP(L21,'Rating Factors'!$J:$K,2,FALSE),1)
  * IFERROR(VLOOKUP(M21,'Rating Factors'!$L:$M,2,FALSE),1)
  * IFERROR(VLOOKUP(N21,'Rating Factors'!$N:$O,2,FALSE),1)
  * IFERROR(VLOOKUP(O21,'Rating Factors'!$P:$Q,2,FALSE),1)
  * IFERROR(VLOOKUP(P21,'Rating Factors'!$BO:$BP,2,FALSE),1)
  * IFERROR(VLOOKUP(Q21,'Rating Factors'!$BQ:$BR,2,FALSE),1)
  * IFERROR(VLOOKUP(R21,'Rating Factors'!$R:$S,2,FALSE),1)
  * IFERROR(VLOOKUP(S21,'Rating Factors'!$T:$U,2,FALSE),1)
  * IFERROR(VLOOKUP(T21,'Rating Factors'!$V:$W,2,FALSE),1)
  * IFERROR(VLOOKUP(U21,'Rating Factors'!$X:$Y,2,FALSE),1)
  * IFERROR(VLOOKUP(AI21,'Rating Factors'!$AB:$AC,2,FALSE),1)
  * IFERROR(VLOOKUP(AK21,'Rating Factors'!$AK:$AL,2,FALSE),1)
  * IFERROR(VLOOKUP(AL21,'Rating Factors'!$AP:$AQ,2,FALSE),1)
  * IFERROR(LOOKUP(SUM($W$8:$Z$127),'Rating Factors'!$BD:$BD,'Rating Factors'!$BE:$BE),1))</f>
        <v>0</v>
      </c>
      <c r="AY21" s="158">
        <f>IF(OR(AQ21="Declined", AN21&lt;&gt;"Y"),
   0,
   N(AT21)*N('Rating Factors'!$AG$2)/100
)</f>
        <v>0</v>
      </c>
      <c r="AZ21" s="158">
        <f t="shared" si="6"/>
        <v>0</v>
      </c>
      <c r="BA21" s="142">
        <f>_xlfn.LET(
  _xlpm.base_ok, AND(AQ21&lt;&gt;"Declined", N(AQ21)&gt;0),
  _xlpm.is_full, EXACT(AG21, "Full Limit"),
  _xlpm.total_tiv, SUM($AT$8:$AT$127),
  _xlpm.loc_tiv, N(BE21),
  _xlpm.full_rate, N('Rating Factors'!$AO$10),
  _xlpm.min_per_loc, N('Rating Factors'!$AN$10),
  _xlpm.n_locs, N(E18),
  _xlpm.sched_prem, MAX(_xlpm.total_tiv*_xlpm.full_rate, _xlpm.min_per_loc*_xlpm.n_locs),
  _xlpm.alloc_prem, IF(_xlpm.total_tiv=0, 0, _xlpm.sched_prem * _xlpm.loc_tiv / _xlpm.total_tiv),
  _xlpm.cap_prem, IFERROR(VLOOKUP(AG21, 'Rating Factors'!$AM:$AN, 2, FALSE), 0),
  IF(_xlpm.base_ok,
     IF(_xlpm.is_full, _xlpm.alloc_prem, _xlpm.cap_prem),
     0
  )
)</f>
        <v>0</v>
      </c>
      <c r="BB21" s="143">
        <f t="shared" si="0"/>
        <v>0</v>
      </c>
      <c r="BC21" s="144">
        <f t="shared" si="7"/>
        <v>0</v>
      </c>
      <c r="BD21" s="145">
        <f t="shared" si="8"/>
        <v>0</v>
      </c>
      <c r="BE21" s="115">
        <f t="shared" si="1"/>
        <v>0</v>
      </c>
      <c r="BF21" s="106" t="str">
        <f t="shared" si="9"/>
        <v/>
      </c>
      <c r="BG21"/>
      <c r="BI21" s="67" t="str" cm="1">
        <f t="array" ref="BI21">IF(E21="","",LEFT(_xlfn.REGEXEXTRACT(UPPER(E21),"[A-Z][0-9][A-Z][ -]?[0-9][A-Z][0-9]"),3))</f>
        <v/>
      </c>
      <c r="BJ21" s="66" t="str">
        <f>IF(E21="","",_xlfn.XLOOKUP(BI21, CrestaP!B:B, CrestaP!D:D, ""))</f>
        <v/>
      </c>
      <c r="BK21" s="66" t="str">
        <f>IFERROR(
  INDEX(
    CrestaP!H4:M9,
    MATCH(J21, {"Frame","Brick Veneer","Joisted Masonry","Non-Combustible","Masonry Non-Combustible","Fire resistive"}, 0),
    MATCH(TEXT(BJ21,"@"), {"16","E5","E4","E3","E2","E1"}, 0)
  ),
  ""
)</f>
        <v/>
      </c>
    </row>
    <row r="22" spans="2:63" hidden="1" x14ac:dyDescent="0.25">
      <c r="B22"/>
      <c r="C22" s="24">
        <f t="shared" si="10"/>
        <v>15</v>
      </c>
      <c r="D22" s="25" t="s">
        <v>30</v>
      </c>
      <c r="E22" s="175"/>
      <c r="F22" s="89"/>
      <c r="G22" s="89"/>
      <c r="H22" s="104"/>
      <c r="I22" s="104"/>
      <c r="J22" s="89"/>
      <c r="K22" s="89"/>
      <c r="L22" s="89"/>
      <c r="M22" s="89"/>
      <c r="N22" s="89"/>
      <c r="O22" s="89"/>
      <c r="P22" s="104"/>
      <c r="Q22" s="104"/>
      <c r="R22" s="89"/>
      <c r="S22" s="89"/>
      <c r="T22" s="89"/>
      <c r="U22" s="25"/>
      <c r="V22" s="119"/>
      <c r="W22" s="19"/>
      <c r="X22" s="104"/>
      <c r="Y22" s="104"/>
      <c r="Z22" s="104"/>
      <c r="AA22" s="19"/>
      <c r="AB22" s="160" t="str">
        <f>IF(OR(AA22="",G22=""),"",VLOOKUP(G22,'Rating Factors'!$C:$E,3,FALSE)*AA22)</f>
        <v/>
      </c>
      <c r="AC22" s="20"/>
      <c r="AD22" s="20"/>
      <c r="AE22" s="104"/>
      <c r="AF22" s="96"/>
      <c r="AG22" s="20"/>
      <c r="AH22" s="119"/>
      <c r="AI22" s="19"/>
      <c r="AJ22" s="19"/>
      <c r="AK22" s="19"/>
      <c r="AL22" s="96"/>
      <c r="AM22" s="119"/>
      <c r="AN22" s="19"/>
      <c r="AO22" s="20"/>
      <c r="AP22" s="119"/>
      <c r="AQ22" s="115">
        <f t="shared" si="2"/>
        <v>0</v>
      </c>
      <c r="AR22" s="171">
        <f>IF(OR(Z22="",N(Z22)=0),
IF(
N(H22)+N(I22)=0,
0,
MAX(
IFERROR(VLOOKUP(AE22,'Rating Factors'!$BJ:$BK,2,FALSE),0),
((N(H22)*'Rating Factors'!$BF$2)+(N(I22)*'Rating Factors'!$BG$2))
*IFERROR(VLOOKUP(AE22,'Rating Factors'!$Z:$AA,2,FALSE),1)
*IFERROR(VLOOKUP(AJ22,'Rating Factors'!$AD:$AE,2,FALSE),1)
*IFERROR(VLOOKUP(SUM($H$8:$H$127),'Rating Factors'!$BM:$BN,2),1)
*IFERROR(VLOOKUP(SUM($I$8:$I$127),'Rating Factors'!$BH:$BI,2),1)
)
),
MAX(IFERROR(VLOOKUP(AE22,'Rating Factors'!$BJ:$BL,3,FALSE),0),
((N(I22)*'Rating Factors'!$BG$2))
*IFERROR(VLOOKUP(AE22,'Rating Factors'!$Z:$AA,2,FALSE),1)
*IFERROR(VLOOKUP(AJ22,'Rating Factors'!$AD:$AE,2,FALSE),1)
*N(AA22)* IFERROR(VLOOKUP(G22,'Rating Factors'!$C:$D,2,FALSE),1)*0.0045
))</f>
        <v>0</v>
      </c>
      <c r="AS22" s="172">
        <f t="shared" si="3"/>
        <v>0</v>
      </c>
      <c r="AT22" s="115">
        <f t="shared" si="11"/>
        <v>0</v>
      </c>
      <c r="AU22" s="173" t="str">
        <f t="shared" si="4"/>
        <v/>
      </c>
      <c r="AV22" s="174" t="str">
        <f t="shared" si="5"/>
        <v/>
      </c>
      <c r="AW22" s="119"/>
      <c r="AX22" s="141">
        <f>IF(
  OR(
    IFERROR(VLOOKUP(F22,'Rating Factors'!$A:$B,2,FALSE)="Decline",FALSE),
    IFERROR(VLOOKUP(G22,'Rating Factors'!$C:$D,2,FALSE)="Decline",FALSE),
    IFERROR(VLOOKUP(J22,'Rating Factors'!$F:$G,2,FALSE)="Decline",FALSE),
    IFERROR(VLOOKUP(K22,'Rating Factors'!$H:$I,2,FALSE)="Decline",FALSE),
    IFERROR(VLOOKUP(L22,'Rating Factors'!$J:$K,2,FALSE)="Decline",FALSE),
    IFERROR(VLOOKUP(M22,'Rating Factors'!$L:$M,2,FALSE)="Decline",FALSE),
    IFERROR(VLOOKUP(N22,'Rating Factors'!$N:$O,2,FALSE)="Decline",FALSE),
    IFERROR(VLOOKUP(O22,'Rating Factors'!$P:$Q,2,FALSE)="Decline",FALSE),
    IFERROR(VLOOKUP(P22,'Rating Factors'!$BO:$BP,2,FALSE)="Decline",FALSE),
    IFERROR(VLOOKUP(Q22,'Rating Factors'!$BQ:$BR,2,FALSE)="Decline",FALSE),
    IFERROR(VLOOKUP(R22,'Rating Factors'!$R:$S,2,FALSE)="Decline",FALSE),
    IFERROR(VLOOKUP(S22,'Rating Factors'!$T:$U,2,FALSE)="Decline",FALSE),
    IFERROR(VLOOKUP(T22,'Rating Factors'!$V:$W,2,FALSE)="Decline",FALSE),
    IFERROR(VLOOKUP(U22,'Rating Factors'!$X:$Y,2,FALSE)="Decline",FALSE),
    IFERROR(VLOOKUP(AI22,'Rating Factors'!$AB:$AC,2,FALSE)="Decline",FALSE),
    IFERROR(VLOOKUP(AK22,'Rating Factors'!$AK:$AL,2,FALSE)="Decline",FALSE),
    IFERROR(VLOOKUP(AL22,'Rating Factors'!$AP:$AQ,2,FALSE)="Decline",FALSE)
  ),
  "Declined",
  SUM(
    W22,
    X22,
    Y22*
      IFERROR(VLOOKUP(AD22,'Rating Factors'!$BS:$BT,2,FALSE),1),
    Z22*
      IFERROR(VLOOKUP(AD22,'Rating Factors'!$BS:$BT,2,FALSE),1)*
      IFERROR(VLOOKUP(AC22,'Rating Factors'!$BV:$BW,2,FALSE),1),
  )
  * IFERROR(VLOOKUP(F22,'Rating Factors'!$A:$B,2,FALSE),1)
  * IFERROR(VLOOKUP(G22,'Rating Factors'!$C:$D,2,FALSE),1)
  * IFERROR(VLOOKUP(J22,'Rating Factors'!$F:$G,2,FALSE),1)
  * IFERROR(VLOOKUP(K22,'Rating Factors'!$H:$I,2,FALSE),1)
  * IFERROR(VLOOKUP(L22,'Rating Factors'!$J:$K,2,FALSE),1)
  * IFERROR(VLOOKUP(M22,'Rating Factors'!$L:$M,2,FALSE),1)
  * IFERROR(VLOOKUP(N22,'Rating Factors'!$N:$O,2,FALSE),1)
  * IFERROR(VLOOKUP(O22,'Rating Factors'!$P:$Q,2,FALSE),1)
  * IFERROR(VLOOKUP(P22,'Rating Factors'!$BO:$BP,2,FALSE),1)
  * IFERROR(VLOOKUP(Q22,'Rating Factors'!$BQ:$BR,2,FALSE),1)
  * IFERROR(VLOOKUP(R22,'Rating Factors'!$R:$S,2,FALSE),1)
  * IFERROR(VLOOKUP(S22,'Rating Factors'!$T:$U,2,FALSE),1)
  * IFERROR(VLOOKUP(T22,'Rating Factors'!$V:$W,2,FALSE),1)
  * IFERROR(VLOOKUP(U22,'Rating Factors'!$X:$Y,2,FALSE),1)
  * IFERROR(VLOOKUP(AI22,'Rating Factors'!$AB:$AC,2,FALSE),1)
  * IFERROR(VLOOKUP(AK22,'Rating Factors'!$AK:$AL,2,FALSE),1)
  * IFERROR(VLOOKUP(AL22,'Rating Factors'!$AP:$AQ,2,FALSE),1)
  * IFERROR(LOOKUP(SUM($W$8:$Z$127),'Rating Factors'!$BD:$BD,'Rating Factors'!$BE:$BE),1))</f>
        <v>0</v>
      </c>
      <c r="AY22" s="158">
        <f>IF(OR(AQ22="Declined", AN22&lt;&gt;"Y"),
   0,
   N(AT22)*N('Rating Factors'!$AG$2)/100
)</f>
        <v>0</v>
      </c>
      <c r="AZ22" s="158">
        <f t="shared" si="6"/>
        <v>0</v>
      </c>
      <c r="BA22" s="142">
        <f>_xlfn.LET(
  _xlpm.base_ok, AND(AQ22&lt;&gt;"Declined", N(AQ22)&gt;0),
  _xlpm.is_full, EXACT(AG22, "Full Limit"),
  _xlpm.total_tiv, SUM($AT$8:$AT$127),
  _xlpm.loc_tiv, N(BE22),
  _xlpm.full_rate, N('Rating Factors'!$AO$10),
  _xlpm.min_per_loc, N('Rating Factors'!$AN$10),
  _xlpm.n_locs, N(E19),
  _xlpm.sched_prem, MAX(_xlpm.total_tiv*_xlpm.full_rate, _xlpm.min_per_loc*_xlpm.n_locs),
  _xlpm.alloc_prem, IF(_xlpm.total_tiv=0, 0, _xlpm.sched_prem * _xlpm.loc_tiv / _xlpm.total_tiv),
  _xlpm.cap_prem, IFERROR(VLOOKUP(AG22, 'Rating Factors'!$AM:$AN, 2, FALSE), 0),
  IF(_xlpm.base_ok,
     IF(_xlpm.is_full, _xlpm.alloc_prem, _xlpm.cap_prem),
     0
  )
)</f>
        <v>0</v>
      </c>
      <c r="BB22" s="143">
        <f t="shared" si="0"/>
        <v>0</v>
      </c>
      <c r="BC22" s="144">
        <f t="shared" si="7"/>
        <v>0</v>
      </c>
      <c r="BD22" s="145">
        <f t="shared" si="8"/>
        <v>0</v>
      </c>
      <c r="BE22" s="115">
        <f t="shared" si="1"/>
        <v>0</v>
      </c>
      <c r="BF22" s="106" t="str">
        <f t="shared" si="9"/>
        <v/>
      </c>
      <c r="BG22"/>
      <c r="BI22" s="67" t="str" cm="1">
        <f t="array" ref="BI22">IF(E22="","",LEFT(_xlfn.REGEXEXTRACT(UPPER(E22),"[A-Z][0-9][A-Z][ -]?[0-9][A-Z][0-9]"),3))</f>
        <v/>
      </c>
      <c r="BJ22" s="66" t="str">
        <f>IF(E22="","",_xlfn.XLOOKUP(BI22, CrestaP!B:B, CrestaP!D:D, ""))</f>
        <v/>
      </c>
      <c r="BK22" s="66" t="str">
        <f>IFERROR(
  INDEX(
    CrestaP!H4:M9,
    MATCH(J22, {"Frame","Brick Veneer","Joisted Masonry","Non-Combustible","Masonry Non-Combustible","Fire resistive"}, 0),
    MATCH(TEXT(BJ22,"@"), {"16","E5","E4","E3","E2","E1"}, 0)
  ),
  ""
)</f>
        <v/>
      </c>
    </row>
    <row r="23" spans="2:63" hidden="1" x14ac:dyDescent="0.25">
      <c r="B23"/>
      <c r="C23" s="24">
        <f t="shared" si="10"/>
        <v>16</v>
      </c>
      <c r="D23" s="25" t="s">
        <v>30</v>
      </c>
      <c r="E23" s="175"/>
      <c r="F23" s="89"/>
      <c r="G23" s="89"/>
      <c r="H23" s="104"/>
      <c r="I23" s="104"/>
      <c r="J23" s="89"/>
      <c r="K23" s="89"/>
      <c r="L23" s="89"/>
      <c r="M23" s="89"/>
      <c r="N23" s="89"/>
      <c r="O23" s="89"/>
      <c r="P23" s="104"/>
      <c r="Q23" s="104"/>
      <c r="R23" s="89"/>
      <c r="S23" s="89"/>
      <c r="T23" s="89"/>
      <c r="U23" s="25"/>
      <c r="V23" s="119"/>
      <c r="W23" s="19"/>
      <c r="X23" s="104"/>
      <c r="Y23" s="104"/>
      <c r="Z23" s="104"/>
      <c r="AA23" s="19"/>
      <c r="AB23" s="160" t="str">
        <f>IF(OR(AA23="",G23=""),"",VLOOKUP(G23,'Rating Factors'!$C:$E,3,FALSE)*AA23)</f>
        <v/>
      </c>
      <c r="AC23" s="20"/>
      <c r="AD23" s="20"/>
      <c r="AE23" s="104"/>
      <c r="AF23" s="96"/>
      <c r="AG23" s="20"/>
      <c r="AH23" s="119"/>
      <c r="AI23" s="19"/>
      <c r="AJ23" s="19"/>
      <c r="AK23" s="19"/>
      <c r="AL23" s="96"/>
      <c r="AM23" s="119"/>
      <c r="AN23" s="19"/>
      <c r="AO23" s="20"/>
      <c r="AP23" s="119"/>
      <c r="AQ23" s="115">
        <f t="shared" si="2"/>
        <v>0</v>
      </c>
      <c r="AR23" s="171">
        <f>IF(OR(Z23="",N(Z23)=0),
IF(
N(H23)+N(I23)=0,
0,
MAX(
IFERROR(VLOOKUP(AE23,'Rating Factors'!$BJ:$BK,2,FALSE),0),
((N(H23)*'Rating Factors'!$BF$2)+(N(I23)*'Rating Factors'!$BG$2))
*IFERROR(VLOOKUP(AE23,'Rating Factors'!$Z:$AA,2,FALSE),1)
*IFERROR(VLOOKUP(AJ23,'Rating Factors'!$AD:$AE,2,FALSE),1)
*IFERROR(VLOOKUP(SUM($H$8:$H$127),'Rating Factors'!$BM:$BN,2),1)
*IFERROR(VLOOKUP(SUM($I$8:$I$127),'Rating Factors'!$BH:$BI,2),1)
)
),
MAX(IFERROR(VLOOKUP(AE23,'Rating Factors'!$BJ:$BL,3,FALSE),0),
((N(I23)*'Rating Factors'!$BG$2))
*IFERROR(VLOOKUP(AE23,'Rating Factors'!$Z:$AA,2,FALSE),1)
*IFERROR(VLOOKUP(AJ23,'Rating Factors'!$AD:$AE,2,FALSE),1)
*N(AA23)* IFERROR(VLOOKUP(G23,'Rating Factors'!$C:$D,2,FALSE),1)*0.0045
))</f>
        <v>0</v>
      </c>
      <c r="AS23" s="172">
        <f t="shared" si="3"/>
        <v>0</v>
      </c>
      <c r="AT23" s="115">
        <f t="shared" si="11"/>
        <v>0</v>
      </c>
      <c r="AU23" s="173" t="str">
        <f t="shared" si="4"/>
        <v/>
      </c>
      <c r="AV23" s="174" t="str">
        <f t="shared" si="5"/>
        <v/>
      </c>
      <c r="AW23" s="119"/>
      <c r="AX23" s="141">
        <f>IF(
  OR(
    IFERROR(VLOOKUP(F23,'Rating Factors'!$A:$B,2,FALSE)="Decline",FALSE),
    IFERROR(VLOOKUP(G23,'Rating Factors'!$C:$D,2,FALSE)="Decline",FALSE),
    IFERROR(VLOOKUP(J23,'Rating Factors'!$F:$G,2,FALSE)="Decline",FALSE),
    IFERROR(VLOOKUP(K23,'Rating Factors'!$H:$I,2,FALSE)="Decline",FALSE),
    IFERROR(VLOOKUP(L23,'Rating Factors'!$J:$K,2,FALSE)="Decline",FALSE),
    IFERROR(VLOOKUP(M23,'Rating Factors'!$L:$M,2,FALSE)="Decline",FALSE),
    IFERROR(VLOOKUP(N23,'Rating Factors'!$N:$O,2,FALSE)="Decline",FALSE),
    IFERROR(VLOOKUP(O23,'Rating Factors'!$P:$Q,2,FALSE)="Decline",FALSE),
    IFERROR(VLOOKUP(P23,'Rating Factors'!$BO:$BP,2,FALSE)="Decline",FALSE),
    IFERROR(VLOOKUP(Q23,'Rating Factors'!$BQ:$BR,2,FALSE)="Decline",FALSE),
    IFERROR(VLOOKUP(R23,'Rating Factors'!$R:$S,2,FALSE)="Decline",FALSE),
    IFERROR(VLOOKUP(S23,'Rating Factors'!$T:$U,2,FALSE)="Decline",FALSE),
    IFERROR(VLOOKUP(T23,'Rating Factors'!$V:$W,2,FALSE)="Decline",FALSE),
    IFERROR(VLOOKUP(U23,'Rating Factors'!$X:$Y,2,FALSE)="Decline",FALSE),
    IFERROR(VLOOKUP(AI23,'Rating Factors'!$AB:$AC,2,FALSE)="Decline",FALSE),
    IFERROR(VLOOKUP(AK23,'Rating Factors'!$AK:$AL,2,FALSE)="Decline",FALSE),
    IFERROR(VLOOKUP(AL23,'Rating Factors'!$AP:$AQ,2,FALSE)="Decline",FALSE)
  ),
  "Declined",
  SUM(
    W23,
    X23,
    Y23*
      IFERROR(VLOOKUP(AD23,'Rating Factors'!$BS:$BT,2,FALSE),1),
    Z23*
      IFERROR(VLOOKUP(AD23,'Rating Factors'!$BS:$BT,2,FALSE),1)*
      IFERROR(VLOOKUP(AC23,'Rating Factors'!$BV:$BW,2,FALSE),1),
  )
  * IFERROR(VLOOKUP(F23,'Rating Factors'!$A:$B,2,FALSE),1)
  * IFERROR(VLOOKUP(G23,'Rating Factors'!$C:$D,2,FALSE),1)
  * IFERROR(VLOOKUP(J23,'Rating Factors'!$F:$G,2,FALSE),1)
  * IFERROR(VLOOKUP(K23,'Rating Factors'!$H:$I,2,FALSE),1)
  * IFERROR(VLOOKUP(L23,'Rating Factors'!$J:$K,2,FALSE),1)
  * IFERROR(VLOOKUP(M23,'Rating Factors'!$L:$M,2,FALSE),1)
  * IFERROR(VLOOKUP(N23,'Rating Factors'!$N:$O,2,FALSE),1)
  * IFERROR(VLOOKUP(O23,'Rating Factors'!$P:$Q,2,FALSE),1)
  * IFERROR(VLOOKUP(P23,'Rating Factors'!$BO:$BP,2,FALSE),1)
  * IFERROR(VLOOKUP(Q23,'Rating Factors'!$BQ:$BR,2,FALSE),1)
  * IFERROR(VLOOKUP(R23,'Rating Factors'!$R:$S,2,FALSE),1)
  * IFERROR(VLOOKUP(S23,'Rating Factors'!$T:$U,2,FALSE),1)
  * IFERROR(VLOOKUP(T23,'Rating Factors'!$V:$W,2,FALSE),1)
  * IFERROR(VLOOKUP(U23,'Rating Factors'!$X:$Y,2,FALSE),1)
  * IFERROR(VLOOKUP(AI23,'Rating Factors'!$AB:$AC,2,FALSE),1)
  * IFERROR(VLOOKUP(AK23,'Rating Factors'!$AK:$AL,2,FALSE),1)
  * IFERROR(VLOOKUP(AL23,'Rating Factors'!$AP:$AQ,2,FALSE),1)
  * IFERROR(LOOKUP(SUM($W$8:$Z$127),'Rating Factors'!$BD:$BD,'Rating Factors'!$BE:$BE),1))</f>
        <v>0</v>
      </c>
      <c r="AY23" s="158">
        <f>IF(OR(AQ23="Declined", AN23&lt;&gt;"Y"),
   0,
   N(AT23)*N('Rating Factors'!$AG$2)/100
)</f>
        <v>0</v>
      </c>
      <c r="AZ23" s="158">
        <f t="shared" si="6"/>
        <v>0</v>
      </c>
      <c r="BA23" s="142">
        <f>_xlfn.LET(
  _xlpm.base_ok, AND(AQ23&lt;&gt;"Declined", N(AQ23)&gt;0),
  _xlpm.is_full, EXACT(AG23, "Full Limit"),
  _xlpm.total_tiv, SUM($AT$8:$AT$127),
  _xlpm.loc_tiv, N(BE23),
  _xlpm.full_rate, N('Rating Factors'!$AO$10),
  _xlpm.min_per_loc, N('Rating Factors'!$AN$10),
  _xlpm.n_locs, N(E20),
  _xlpm.sched_prem, MAX(_xlpm.total_tiv*_xlpm.full_rate, _xlpm.min_per_loc*_xlpm.n_locs),
  _xlpm.alloc_prem, IF(_xlpm.total_tiv=0, 0, _xlpm.sched_prem * _xlpm.loc_tiv / _xlpm.total_tiv),
  _xlpm.cap_prem, IFERROR(VLOOKUP(AG23, 'Rating Factors'!$AM:$AN, 2, FALSE), 0),
  IF(_xlpm.base_ok,
     IF(_xlpm.is_full, _xlpm.alloc_prem, _xlpm.cap_prem),
     0
  )
)</f>
        <v>0</v>
      </c>
      <c r="BB23" s="143">
        <f t="shared" si="0"/>
        <v>0</v>
      </c>
      <c r="BC23" s="144">
        <f t="shared" si="7"/>
        <v>0</v>
      </c>
      <c r="BD23" s="145">
        <f t="shared" si="8"/>
        <v>0</v>
      </c>
      <c r="BE23" s="115">
        <f t="shared" si="1"/>
        <v>0</v>
      </c>
      <c r="BF23" s="106" t="str">
        <f t="shared" si="9"/>
        <v/>
      </c>
      <c r="BG23"/>
      <c r="BI23" s="67" t="str" cm="1">
        <f t="array" ref="BI23">IF(E23="","",LEFT(_xlfn.REGEXEXTRACT(UPPER(E23),"[A-Z][0-9][A-Z][ -]?[0-9][A-Z][0-9]"),3))</f>
        <v/>
      </c>
      <c r="BJ23" s="66" t="str">
        <f>IF(E23="","",_xlfn.XLOOKUP(BI23, CrestaP!B:B, CrestaP!D:D, ""))</f>
        <v/>
      </c>
      <c r="BK23" s="66" t="str">
        <f>IFERROR(
  INDEX(
    CrestaP!H4:M9,
    MATCH(J23, {"Frame","Brick Veneer","Joisted Masonry","Non-Combustible","Masonry Non-Combustible","Fire resistive"}, 0),
    MATCH(TEXT(BJ23,"@"), {"16","E5","E4","E3","E2","E1"}, 0)
  ),
  ""
)</f>
        <v/>
      </c>
    </row>
    <row r="24" spans="2:63" hidden="1" x14ac:dyDescent="0.25">
      <c r="B24"/>
      <c r="C24" s="24">
        <f t="shared" si="10"/>
        <v>17</v>
      </c>
      <c r="D24" s="25" t="s">
        <v>30</v>
      </c>
      <c r="E24" s="175"/>
      <c r="F24" s="89"/>
      <c r="G24" s="89"/>
      <c r="H24" s="104"/>
      <c r="I24" s="104"/>
      <c r="J24" s="89"/>
      <c r="K24" s="89"/>
      <c r="L24" s="89"/>
      <c r="M24" s="89"/>
      <c r="N24" s="89"/>
      <c r="O24" s="89"/>
      <c r="P24" s="104"/>
      <c r="Q24" s="104"/>
      <c r="R24" s="89"/>
      <c r="S24" s="89"/>
      <c r="T24" s="89"/>
      <c r="U24" s="25"/>
      <c r="V24" s="119"/>
      <c r="W24" s="19"/>
      <c r="X24" s="104"/>
      <c r="Y24" s="104"/>
      <c r="Z24" s="104"/>
      <c r="AA24" s="19"/>
      <c r="AB24" s="160" t="str">
        <f>IF(OR(AA24="",G24=""),"",VLOOKUP(G24,'Rating Factors'!$C:$E,3,FALSE)*AA24)</f>
        <v/>
      </c>
      <c r="AC24" s="20"/>
      <c r="AD24" s="20"/>
      <c r="AE24" s="104"/>
      <c r="AF24" s="96"/>
      <c r="AG24" s="20"/>
      <c r="AH24" s="119"/>
      <c r="AI24" s="19"/>
      <c r="AJ24" s="19"/>
      <c r="AK24" s="19"/>
      <c r="AL24" s="96"/>
      <c r="AM24" s="119"/>
      <c r="AN24" s="19"/>
      <c r="AO24" s="20"/>
      <c r="AP24" s="119"/>
      <c r="AQ24" s="115">
        <f t="shared" si="2"/>
        <v>0</v>
      </c>
      <c r="AR24" s="171">
        <f>IF(OR(Z24="",N(Z24)=0),
IF(
N(H24)+N(I24)=0,
0,
MAX(
IFERROR(VLOOKUP(AE24,'Rating Factors'!$BJ:$BK,2,FALSE),0),
((N(H24)*'Rating Factors'!$BF$2)+(N(I24)*'Rating Factors'!$BG$2))
*IFERROR(VLOOKUP(AE24,'Rating Factors'!$Z:$AA,2,FALSE),1)
*IFERROR(VLOOKUP(AJ24,'Rating Factors'!$AD:$AE,2,FALSE),1)
*IFERROR(VLOOKUP(SUM($H$8:$H$127),'Rating Factors'!$BM:$BN,2),1)
*IFERROR(VLOOKUP(SUM($I$8:$I$127),'Rating Factors'!$BH:$BI,2),1)
)
),
MAX(IFERROR(VLOOKUP(AE24,'Rating Factors'!$BJ:$BL,3,FALSE),0),
((N(I24)*'Rating Factors'!$BG$2))
*IFERROR(VLOOKUP(AE24,'Rating Factors'!$Z:$AA,2,FALSE),1)
*IFERROR(VLOOKUP(AJ24,'Rating Factors'!$AD:$AE,2,FALSE),1)
*N(AA24)* IFERROR(VLOOKUP(G24,'Rating Factors'!$C:$D,2,FALSE),1)*0.0045
))</f>
        <v>0</v>
      </c>
      <c r="AS24" s="172">
        <f t="shared" si="3"/>
        <v>0</v>
      </c>
      <c r="AT24" s="115">
        <f t="shared" si="11"/>
        <v>0</v>
      </c>
      <c r="AU24" s="173" t="str">
        <f t="shared" si="4"/>
        <v/>
      </c>
      <c r="AV24" s="174" t="str">
        <f t="shared" si="5"/>
        <v/>
      </c>
      <c r="AW24" s="119"/>
      <c r="AX24" s="141">
        <f>IF(
  OR(
    IFERROR(VLOOKUP(F24,'Rating Factors'!$A:$B,2,FALSE)="Decline",FALSE),
    IFERROR(VLOOKUP(G24,'Rating Factors'!$C:$D,2,FALSE)="Decline",FALSE),
    IFERROR(VLOOKUP(J24,'Rating Factors'!$F:$G,2,FALSE)="Decline",FALSE),
    IFERROR(VLOOKUP(K24,'Rating Factors'!$H:$I,2,FALSE)="Decline",FALSE),
    IFERROR(VLOOKUP(L24,'Rating Factors'!$J:$K,2,FALSE)="Decline",FALSE),
    IFERROR(VLOOKUP(M24,'Rating Factors'!$L:$M,2,FALSE)="Decline",FALSE),
    IFERROR(VLOOKUP(N24,'Rating Factors'!$N:$O,2,FALSE)="Decline",FALSE),
    IFERROR(VLOOKUP(O24,'Rating Factors'!$P:$Q,2,FALSE)="Decline",FALSE),
    IFERROR(VLOOKUP(P24,'Rating Factors'!$BO:$BP,2,FALSE)="Decline",FALSE),
    IFERROR(VLOOKUP(Q24,'Rating Factors'!$BQ:$BR,2,FALSE)="Decline",FALSE),
    IFERROR(VLOOKUP(R24,'Rating Factors'!$R:$S,2,FALSE)="Decline",FALSE),
    IFERROR(VLOOKUP(S24,'Rating Factors'!$T:$U,2,FALSE)="Decline",FALSE),
    IFERROR(VLOOKUP(T24,'Rating Factors'!$V:$W,2,FALSE)="Decline",FALSE),
    IFERROR(VLOOKUP(U24,'Rating Factors'!$X:$Y,2,FALSE)="Decline",FALSE),
    IFERROR(VLOOKUP(AI24,'Rating Factors'!$AB:$AC,2,FALSE)="Decline",FALSE),
    IFERROR(VLOOKUP(AK24,'Rating Factors'!$AK:$AL,2,FALSE)="Decline",FALSE),
    IFERROR(VLOOKUP(AL24,'Rating Factors'!$AP:$AQ,2,FALSE)="Decline",FALSE)
  ),
  "Declined",
  SUM(
    W24,
    X24,
    Y24*
      IFERROR(VLOOKUP(AD24,'Rating Factors'!$BS:$BT,2,FALSE),1),
    Z24*
      IFERROR(VLOOKUP(AD24,'Rating Factors'!$BS:$BT,2,FALSE),1)*
      IFERROR(VLOOKUP(AC24,'Rating Factors'!$BV:$BW,2,FALSE),1),
  )
  * IFERROR(VLOOKUP(F24,'Rating Factors'!$A:$B,2,FALSE),1)
  * IFERROR(VLOOKUP(G24,'Rating Factors'!$C:$D,2,FALSE),1)
  * IFERROR(VLOOKUP(J24,'Rating Factors'!$F:$G,2,FALSE),1)
  * IFERROR(VLOOKUP(K24,'Rating Factors'!$H:$I,2,FALSE),1)
  * IFERROR(VLOOKUP(L24,'Rating Factors'!$J:$K,2,FALSE),1)
  * IFERROR(VLOOKUP(M24,'Rating Factors'!$L:$M,2,FALSE),1)
  * IFERROR(VLOOKUP(N24,'Rating Factors'!$N:$O,2,FALSE),1)
  * IFERROR(VLOOKUP(O24,'Rating Factors'!$P:$Q,2,FALSE),1)
  * IFERROR(VLOOKUP(P24,'Rating Factors'!$BO:$BP,2,FALSE),1)
  * IFERROR(VLOOKUP(Q24,'Rating Factors'!$BQ:$BR,2,FALSE),1)
  * IFERROR(VLOOKUP(R24,'Rating Factors'!$R:$S,2,FALSE),1)
  * IFERROR(VLOOKUP(S24,'Rating Factors'!$T:$U,2,FALSE),1)
  * IFERROR(VLOOKUP(T24,'Rating Factors'!$V:$W,2,FALSE),1)
  * IFERROR(VLOOKUP(U24,'Rating Factors'!$X:$Y,2,FALSE),1)
  * IFERROR(VLOOKUP(AI24,'Rating Factors'!$AB:$AC,2,FALSE),1)
  * IFERROR(VLOOKUP(AK24,'Rating Factors'!$AK:$AL,2,FALSE),1)
  * IFERROR(VLOOKUP(AL24,'Rating Factors'!$AP:$AQ,2,FALSE),1)
  * IFERROR(LOOKUP(SUM($W$8:$Z$127),'Rating Factors'!$BD:$BD,'Rating Factors'!$BE:$BE),1))</f>
        <v>0</v>
      </c>
      <c r="AY24" s="158">
        <f>IF(OR(AQ24="Declined", AN24&lt;&gt;"Y"),
   0,
   N(AT24)*N('Rating Factors'!$AG$2)/100
)</f>
        <v>0</v>
      </c>
      <c r="AZ24" s="158">
        <f t="shared" si="6"/>
        <v>0</v>
      </c>
      <c r="BA24" s="142">
        <f>_xlfn.LET(
  _xlpm.base_ok, AND(AQ24&lt;&gt;"Declined", N(AQ24)&gt;0),
  _xlpm.is_full, EXACT(AG24, "Full Limit"),
  _xlpm.total_tiv, SUM($AT$8:$AT$127),
  _xlpm.loc_tiv, N(BE24),
  _xlpm.full_rate, N('Rating Factors'!$AO$10),
  _xlpm.min_per_loc, N('Rating Factors'!$AN$10),
  _xlpm.n_locs, N(E21),
  _xlpm.sched_prem, MAX(_xlpm.total_tiv*_xlpm.full_rate, _xlpm.min_per_loc*_xlpm.n_locs),
  _xlpm.alloc_prem, IF(_xlpm.total_tiv=0, 0, _xlpm.sched_prem * _xlpm.loc_tiv / _xlpm.total_tiv),
  _xlpm.cap_prem, IFERROR(VLOOKUP(AG24, 'Rating Factors'!$AM:$AN, 2, FALSE), 0),
  IF(_xlpm.base_ok,
     IF(_xlpm.is_full, _xlpm.alloc_prem, _xlpm.cap_prem),
     0
  )
)</f>
        <v>0</v>
      </c>
      <c r="BB24" s="143">
        <f t="shared" si="0"/>
        <v>0</v>
      </c>
      <c r="BC24" s="144">
        <f t="shared" si="7"/>
        <v>0</v>
      </c>
      <c r="BD24" s="145">
        <f t="shared" si="8"/>
        <v>0</v>
      </c>
      <c r="BE24" s="115">
        <f t="shared" si="1"/>
        <v>0</v>
      </c>
      <c r="BF24" s="106" t="str">
        <f t="shared" si="9"/>
        <v/>
      </c>
      <c r="BG24"/>
      <c r="BI24" s="67" t="str" cm="1">
        <f t="array" ref="BI24">IF(E24="","",LEFT(_xlfn.REGEXEXTRACT(UPPER(E24),"[A-Z][0-9][A-Z][ -]?[0-9][A-Z][0-9]"),3))</f>
        <v/>
      </c>
      <c r="BJ24" s="66" t="str">
        <f>IF(E24="","",_xlfn.XLOOKUP(BI24, CrestaP!B:B, CrestaP!D:D, ""))</f>
        <v/>
      </c>
      <c r="BK24" s="66" t="str">
        <f>IFERROR(
  INDEX(
    CrestaP!H4:M9,
    MATCH(J24, {"Frame","Brick Veneer","Joisted Masonry","Non-Combustible","Masonry Non-Combustible","Fire resistive"}, 0),
    MATCH(TEXT(BJ24,"@"), {"16","E5","E4","E3","E2","E1"}, 0)
  ),
  ""
)</f>
        <v/>
      </c>
    </row>
    <row r="25" spans="2:63" hidden="1" x14ac:dyDescent="0.25">
      <c r="B25"/>
      <c r="C25" s="24">
        <f t="shared" si="10"/>
        <v>18</v>
      </c>
      <c r="D25" s="25" t="s">
        <v>30</v>
      </c>
      <c r="E25" s="175"/>
      <c r="F25" s="89"/>
      <c r="G25" s="89"/>
      <c r="H25" s="104"/>
      <c r="I25" s="104"/>
      <c r="J25" s="89"/>
      <c r="K25" s="89"/>
      <c r="L25" s="89"/>
      <c r="M25" s="89"/>
      <c r="N25" s="89"/>
      <c r="O25" s="89"/>
      <c r="P25" s="104"/>
      <c r="Q25" s="104"/>
      <c r="R25" s="89"/>
      <c r="S25" s="89"/>
      <c r="T25" s="89"/>
      <c r="U25" s="25"/>
      <c r="V25" s="119"/>
      <c r="W25" s="19"/>
      <c r="X25" s="104"/>
      <c r="Y25" s="104"/>
      <c r="Z25" s="104"/>
      <c r="AA25" s="19"/>
      <c r="AB25" s="160" t="str">
        <f>IF(OR(AA25="",G25=""),"",VLOOKUP(G25,'Rating Factors'!$C:$E,3,FALSE)*AA25)</f>
        <v/>
      </c>
      <c r="AC25" s="20"/>
      <c r="AD25" s="20"/>
      <c r="AE25" s="104"/>
      <c r="AF25" s="96"/>
      <c r="AG25" s="20"/>
      <c r="AH25" s="119"/>
      <c r="AI25" s="19"/>
      <c r="AJ25" s="19"/>
      <c r="AK25" s="19"/>
      <c r="AL25" s="96"/>
      <c r="AM25" s="119"/>
      <c r="AN25" s="19"/>
      <c r="AO25" s="20"/>
      <c r="AP25" s="119"/>
      <c r="AQ25" s="115">
        <f t="shared" si="2"/>
        <v>0</v>
      </c>
      <c r="AR25" s="171">
        <f>IF(OR(Z25="",N(Z25)=0),
IF(
N(H25)+N(I25)=0,
0,
MAX(
IFERROR(VLOOKUP(AE25,'Rating Factors'!$BJ:$BK,2,FALSE),0),
((N(H25)*'Rating Factors'!$BF$2)+(N(I25)*'Rating Factors'!$BG$2))
*IFERROR(VLOOKUP(AE25,'Rating Factors'!$Z:$AA,2,FALSE),1)
*IFERROR(VLOOKUP(AJ25,'Rating Factors'!$AD:$AE,2,FALSE),1)
*IFERROR(VLOOKUP(SUM($H$8:$H$127),'Rating Factors'!$BM:$BN,2),1)
*IFERROR(VLOOKUP(SUM($I$8:$I$127),'Rating Factors'!$BH:$BI,2),1)
)
),
MAX(IFERROR(VLOOKUP(AE25,'Rating Factors'!$BJ:$BL,3,FALSE),0),
((N(I25)*'Rating Factors'!$BG$2))
*IFERROR(VLOOKUP(AE25,'Rating Factors'!$Z:$AA,2,FALSE),1)
*IFERROR(VLOOKUP(AJ25,'Rating Factors'!$AD:$AE,2,FALSE),1)
*N(AA25)* IFERROR(VLOOKUP(G25,'Rating Factors'!$C:$D,2,FALSE),1)*0.0045
))</f>
        <v>0</v>
      </c>
      <c r="AS25" s="172">
        <f t="shared" si="3"/>
        <v>0</v>
      </c>
      <c r="AT25" s="115">
        <f t="shared" si="11"/>
        <v>0</v>
      </c>
      <c r="AU25" s="173" t="str">
        <f t="shared" si="4"/>
        <v/>
      </c>
      <c r="AV25" s="174" t="str">
        <f t="shared" si="5"/>
        <v/>
      </c>
      <c r="AW25" s="119"/>
      <c r="AX25" s="141">
        <f>IF(
  OR(
    IFERROR(VLOOKUP(F25,'Rating Factors'!$A:$B,2,FALSE)="Decline",FALSE),
    IFERROR(VLOOKUP(G25,'Rating Factors'!$C:$D,2,FALSE)="Decline",FALSE),
    IFERROR(VLOOKUP(J25,'Rating Factors'!$F:$G,2,FALSE)="Decline",FALSE),
    IFERROR(VLOOKUP(K25,'Rating Factors'!$H:$I,2,FALSE)="Decline",FALSE),
    IFERROR(VLOOKUP(L25,'Rating Factors'!$J:$K,2,FALSE)="Decline",FALSE),
    IFERROR(VLOOKUP(M25,'Rating Factors'!$L:$M,2,FALSE)="Decline",FALSE),
    IFERROR(VLOOKUP(N25,'Rating Factors'!$N:$O,2,FALSE)="Decline",FALSE),
    IFERROR(VLOOKUP(O25,'Rating Factors'!$P:$Q,2,FALSE)="Decline",FALSE),
    IFERROR(VLOOKUP(P25,'Rating Factors'!$BO:$BP,2,FALSE)="Decline",FALSE),
    IFERROR(VLOOKUP(Q25,'Rating Factors'!$BQ:$BR,2,FALSE)="Decline",FALSE),
    IFERROR(VLOOKUP(R25,'Rating Factors'!$R:$S,2,FALSE)="Decline",FALSE),
    IFERROR(VLOOKUP(S25,'Rating Factors'!$T:$U,2,FALSE)="Decline",FALSE),
    IFERROR(VLOOKUP(T25,'Rating Factors'!$V:$W,2,FALSE)="Decline",FALSE),
    IFERROR(VLOOKUP(U25,'Rating Factors'!$X:$Y,2,FALSE)="Decline",FALSE),
    IFERROR(VLOOKUP(AI25,'Rating Factors'!$AB:$AC,2,FALSE)="Decline",FALSE),
    IFERROR(VLOOKUP(AK25,'Rating Factors'!$AK:$AL,2,FALSE)="Decline",FALSE),
    IFERROR(VLOOKUP(AL25,'Rating Factors'!$AP:$AQ,2,FALSE)="Decline",FALSE)
  ),
  "Declined",
  SUM(
    W25,
    X25,
    Y25*
      IFERROR(VLOOKUP(AD25,'Rating Factors'!$BS:$BT,2,FALSE),1),
    Z25*
      IFERROR(VLOOKUP(AD25,'Rating Factors'!$BS:$BT,2,FALSE),1)*
      IFERROR(VLOOKUP(AC25,'Rating Factors'!$BV:$BW,2,FALSE),1),
  )
  * IFERROR(VLOOKUP(F25,'Rating Factors'!$A:$B,2,FALSE),1)
  * IFERROR(VLOOKUP(G25,'Rating Factors'!$C:$D,2,FALSE),1)
  * IFERROR(VLOOKUP(J25,'Rating Factors'!$F:$G,2,FALSE),1)
  * IFERROR(VLOOKUP(K25,'Rating Factors'!$H:$I,2,FALSE),1)
  * IFERROR(VLOOKUP(L25,'Rating Factors'!$J:$K,2,FALSE),1)
  * IFERROR(VLOOKUP(M25,'Rating Factors'!$L:$M,2,FALSE),1)
  * IFERROR(VLOOKUP(N25,'Rating Factors'!$N:$O,2,FALSE),1)
  * IFERROR(VLOOKUP(O25,'Rating Factors'!$P:$Q,2,FALSE),1)
  * IFERROR(VLOOKUP(P25,'Rating Factors'!$BO:$BP,2,FALSE),1)
  * IFERROR(VLOOKUP(Q25,'Rating Factors'!$BQ:$BR,2,FALSE),1)
  * IFERROR(VLOOKUP(R25,'Rating Factors'!$R:$S,2,FALSE),1)
  * IFERROR(VLOOKUP(S25,'Rating Factors'!$T:$U,2,FALSE),1)
  * IFERROR(VLOOKUP(T25,'Rating Factors'!$V:$W,2,FALSE),1)
  * IFERROR(VLOOKUP(U25,'Rating Factors'!$X:$Y,2,FALSE),1)
  * IFERROR(VLOOKUP(AI25,'Rating Factors'!$AB:$AC,2,FALSE),1)
  * IFERROR(VLOOKUP(AK25,'Rating Factors'!$AK:$AL,2,FALSE),1)
  * IFERROR(VLOOKUP(AL25,'Rating Factors'!$AP:$AQ,2,FALSE),1)
  * IFERROR(LOOKUP(SUM($W$8:$Z$127),'Rating Factors'!$BD:$BD,'Rating Factors'!$BE:$BE),1))</f>
        <v>0</v>
      </c>
      <c r="AY25" s="158">
        <f>IF(OR(AQ25="Declined", AN25&lt;&gt;"Y"),
   0,
   N(AT25)*N('Rating Factors'!$AG$2)/100
)</f>
        <v>0</v>
      </c>
      <c r="AZ25" s="158">
        <f t="shared" si="6"/>
        <v>0</v>
      </c>
      <c r="BA25" s="142">
        <f>_xlfn.LET(
  _xlpm.base_ok, AND(AQ25&lt;&gt;"Declined", N(AQ25)&gt;0),
  _xlpm.is_full, EXACT(AG25, "Full Limit"),
  _xlpm.total_tiv, SUM($AT$8:$AT$127),
  _xlpm.loc_tiv, N(BE25),
  _xlpm.full_rate, N('Rating Factors'!$AO$10),
  _xlpm.min_per_loc, N('Rating Factors'!$AN$10),
  _xlpm.n_locs, N(E22),
  _xlpm.sched_prem, MAX(_xlpm.total_tiv*_xlpm.full_rate, _xlpm.min_per_loc*_xlpm.n_locs),
  _xlpm.alloc_prem, IF(_xlpm.total_tiv=0, 0, _xlpm.sched_prem * _xlpm.loc_tiv / _xlpm.total_tiv),
  _xlpm.cap_prem, IFERROR(VLOOKUP(AG25, 'Rating Factors'!$AM:$AN, 2, FALSE), 0),
  IF(_xlpm.base_ok,
     IF(_xlpm.is_full, _xlpm.alloc_prem, _xlpm.cap_prem),
     0
  )
)</f>
        <v>0</v>
      </c>
      <c r="BB25" s="143">
        <f t="shared" si="0"/>
        <v>0</v>
      </c>
      <c r="BC25" s="144">
        <f t="shared" si="7"/>
        <v>0</v>
      </c>
      <c r="BD25" s="145">
        <f t="shared" si="8"/>
        <v>0</v>
      </c>
      <c r="BE25" s="115">
        <f t="shared" si="1"/>
        <v>0</v>
      </c>
      <c r="BF25" s="106" t="str">
        <f t="shared" si="9"/>
        <v/>
      </c>
      <c r="BG25"/>
      <c r="BI25" s="67" t="str" cm="1">
        <f t="array" ref="BI25">IF(E25="","",LEFT(_xlfn.REGEXEXTRACT(UPPER(E25),"[A-Z][0-9][A-Z][ -]?[0-9][A-Z][0-9]"),3))</f>
        <v/>
      </c>
      <c r="BJ25" s="66" t="str">
        <f>IF(E25="","",_xlfn.XLOOKUP(BI25, CrestaP!B:B, CrestaP!D:D, ""))</f>
        <v/>
      </c>
      <c r="BK25" s="66" t="str">
        <f>IFERROR(
  INDEX(
    CrestaP!H4:M9,
    MATCH(J25, {"Frame","Brick Veneer","Joisted Masonry","Non-Combustible","Masonry Non-Combustible","Fire resistive"}, 0),
    MATCH(TEXT(BJ25,"@"), {"16","E5","E4","E3","E2","E1"}, 0)
  ),
  ""
)</f>
        <v/>
      </c>
    </row>
    <row r="26" spans="2:63" hidden="1" x14ac:dyDescent="0.25">
      <c r="B26"/>
      <c r="C26" s="24">
        <f t="shared" si="10"/>
        <v>19</v>
      </c>
      <c r="D26" s="25" t="s">
        <v>30</v>
      </c>
      <c r="E26" s="175"/>
      <c r="F26" s="89"/>
      <c r="G26" s="89"/>
      <c r="H26" s="104"/>
      <c r="I26" s="104"/>
      <c r="J26" s="89"/>
      <c r="K26" s="89"/>
      <c r="L26" s="89"/>
      <c r="M26" s="89"/>
      <c r="N26" s="89"/>
      <c r="O26" s="89"/>
      <c r="P26" s="104"/>
      <c r="Q26" s="104"/>
      <c r="R26" s="89"/>
      <c r="S26" s="89"/>
      <c r="T26" s="89"/>
      <c r="U26" s="25"/>
      <c r="V26" s="119"/>
      <c r="W26" s="19"/>
      <c r="X26" s="104"/>
      <c r="Y26" s="104"/>
      <c r="Z26" s="104"/>
      <c r="AA26" s="19"/>
      <c r="AB26" s="160" t="str">
        <f>IF(OR(AA26="",G26=""),"",VLOOKUP(G26,'Rating Factors'!$C:$E,3,FALSE)*AA26)</f>
        <v/>
      </c>
      <c r="AC26" s="20"/>
      <c r="AD26" s="20"/>
      <c r="AE26" s="104"/>
      <c r="AF26" s="96"/>
      <c r="AG26" s="20"/>
      <c r="AH26" s="119"/>
      <c r="AI26" s="19"/>
      <c r="AJ26" s="19"/>
      <c r="AK26" s="19"/>
      <c r="AL26" s="96"/>
      <c r="AM26" s="119"/>
      <c r="AN26" s="19"/>
      <c r="AO26" s="20"/>
      <c r="AP26" s="119"/>
      <c r="AQ26" s="115">
        <f t="shared" si="2"/>
        <v>0</v>
      </c>
      <c r="AR26" s="171">
        <f>IF(OR(Z26="",N(Z26)=0),
IF(
N(H26)+N(I26)=0,
0,
MAX(
IFERROR(VLOOKUP(AE26,'Rating Factors'!$BJ:$BK,2,FALSE),0),
((N(H26)*'Rating Factors'!$BF$2)+(N(I26)*'Rating Factors'!$BG$2))
*IFERROR(VLOOKUP(AE26,'Rating Factors'!$Z:$AA,2,FALSE),1)
*IFERROR(VLOOKUP(AJ26,'Rating Factors'!$AD:$AE,2,FALSE),1)
*IFERROR(VLOOKUP(SUM($H$8:$H$127),'Rating Factors'!$BM:$BN,2),1)
*IFERROR(VLOOKUP(SUM($I$8:$I$127),'Rating Factors'!$BH:$BI,2),1)
)
),
MAX(IFERROR(VLOOKUP(AE26,'Rating Factors'!$BJ:$BL,3,FALSE),0),
((N(I26)*'Rating Factors'!$BG$2))
*IFERROR(VLOOKUP(AE26,'Rating Factors'!$Z:$AA,2,FALSE),1)
*IFERROR(VLOOKUP(AJ26,'Rating Factors'!$AD:$AE,2,FALSE),1)
*N(AA26)* IFERROR(VLOOKUP(G26,'Rating Factors'!$C:$D,2,FALSE),1)*0.0045
))</f>
        <v>0</v>
      </c>
      <c r="AS26" s="172">
        <f t="shared" si="3"/>
        <v>0</v>
      </c>
      <c r="AT26" s="115">
        <f t="shared" si="11"/>
        <v>0</v>
      </c>
      <c r="AU26" s="173" t="str">
        <f t="shared" si="4"/>
        <v/>
      </c>
      <c r="AV26" s="174" t="str">
        <f t="shared" si="5"/>
        <v/>
      </c>
      <c r="AW26" s="119"/>
      <c r="AX26" s="141">
        <f>IF(
  OR(
    IFERROR(VLOOKUP(F26,'Rating Factors'!$A:$B,2,FALSE)="Decline",FALSE),
    IFERROR(VLOOKUP(G26,'Rating Factors'!$C:$D,2,FALSE)="Decline",FALSE),
    IFERROR(VLOOKUP(J26,'Rating Factors'!$F:$G,2,FALSE)="Decline",FALSE),
    IFERROR(VLOOKUP(K26,'Rating Factors'!$H:$I,2,FALSE)="Decline",FALSE),
    IFERROR(VLOOKUP(L26,'Rating Factors'!$J:$K,2,FALSE)="Decline",FALSE),
    IFERROR(VLOOKUP(M26,'Rating Factors'!$L:$M,2,FALSE)="Decline",FALSE),
    IFERROR(VLOOKUP(N26,'Rating Factors'!$N:$O,2,FALSE)="Decline",FALSE),
    IFERROR(VLOOKUP(O26,'Rating Factors'!$P:$Q,2,FALSE)="Decline",FALSE),
    IFERROR(VLOOKUP(P26,'Rating Factors'!$BO:$BP,2,FALSE)="Decline",FALSE),
    IFERROR(VLOOKUP(Q26,'Rating Factors'!$BQ:$BR,2,FALSE)="Decline",FALSE),
    IFERROR(VLOOKUP(R26,'Rating Factors'!$R:$S,2,FALSE)="Decline",FALSE),
    IFERROR(VLOOKUP(S26,'Rating Factors'!$T:$U,2,FALSE)="Decline",FALSE),
    IFERROR(VLOOKUP(T26,'Rating Factors'!$V:$W,2,FALSE)="Decline",FALSE),
    IFERROR(VLOOKUP(U26,'Rating Factors'!$X:$Y,2,FALSE)="Decline",FALSE),
    IFERROR(VLOOKUP(AI26,'Rating Factors'!$AB:$AC,2,FALSE)="Decline",FALSE),
    IFERROR(VLOOKUP(AK26,'Rating Factors'!$AK:$AL,2,FALSE)="Decline",FALSE),
    IFERROR(VLOOKUP(AL26,'Rating Factors'!$AP:$AQ,2,FALSE)="Decline",FALSE)
  ),
  "Declined",
  SUM(
    W26,
    X26,
    Y26*
      IFERROR(VLOOKUP(AD26,'Rating Factors'!$BS:$BT,2,FALSE),1),
    Z26*
      IFERROR(VLOOKUP(AD26,'Rating Factors'!$BS:$BT,2,FALSE),1)*
      IFERROR(VLOOKUP(AC26,'Rating Factors'!$BV:$BW,2,FALSE),1),
  )
  * IFERROR(VLOOKUP(F26,'Rating Factors'!$A:$B,2,FALSE),1)
  * IFERROR(VLOOKUP(G26,'Rating Factors'!$C:$D,2,FALSE),1)
  * IFERROR(VLOOKUP(J26,'Rating Factors'!$F:$G,2,FALSE),1)
  * IFERROR(VLOOKUP(K26,'Rating Factors'!$H:$I,2,FALSE),1)
  * IFERROR(VLOOKUP(L26,'Rating Factors'!$J:$K,2,FALSE),1)
  * IFERROR(VLOOKUP(M26,'Rating Factors'!$L:$M,2,FALSE),1)
  * IFERROR(VLOOKUP(N26,'Rating Factors'!$N:$O,2,FALSE),1)
  * IFERROR(VLOOKUP(O26,'Rating Factors'!$P:$Q,2,FALSE),1)
  * IFERROR(VLOOKUP(P26,'Rating Factors'!$BO:$BP,2,FALSE),1)
  * IFERROR(VLOOKUP(Q26,'Rating Factors'!$BQ:$BR,2,FALSE),1)
  * IFERROR(VLOOKUP(R26,'Rating Factors'!$R:$S,2,FALSE),1)
  * IFERROR(VLOOKUP(S26,'Rating Factors'!$T:$U,2,FALSE),1)
  * IFERROR(VLOOKUP(T26,'Rating Factors'!$V:$W,2,FALSE),1)
  * IFERROR(VLOOKUP(U26,'Rating Factors'!$X:$Y,2,FALSE),1)
  * IFERROR(VLOOKUP(AI26,'Rating Factors'!$AB:$AC,2,FALSE),1)
  * IFERROR(VLOOKUP(AK26,'Rating Factors'!$AK:$AL,2,FALSE),1)
  * IFERROR(VLOOKUP(AL26,'Rating Factors'!$AP:$AQ,2,FALSE),1)
  * IFERROR(LOOKUP(SUM($W$8:$Z$127),'Rating Factors'!$BD:$BD,'Rating Factors'!$BE:$BE),1))</f>
        <v>0</v>
      </c>
      <c r="AY26" s="158">
        <f>IF(OR(AQ26="Declined", AN26&lt;&gt;"Y"),
   0,
   N(AT26)*N('Rating Factors'!$AG$2)/100
)</f>
        <v>0</v>
      </c>
      <c r="AZ26" s="158">
        <f t="shared" si="6"/>
        <v>0</v>
      </c>
      <c r="BA26" s="142">
        <f>_xlfn.LET(
  _xlpm.base_ok, AND(AQ26&lt;&gt;"Declined", N(AQ26)&gt;0),
  _xlpm.is_full, EXACT(AG26, "Full Limit"),
  _xlpm.total_tiv, SUM($AT$8:$AT$127),
  _xlpm.loc_tiv, N(BE26),
  _xlpm.full_rate, N('Rating Factors'!$AO$10),
  _xlpm.min_per_loc, N('Rating Factors'!$AN$10),
  _xlpm.n_locs, N(E23),
  _xlpm.sched_prem, MAX(_xlpm.total_tiv*_xlpm.full_rate, _xlpm.min_per_loc*_xlpm.n_locs),
  _xlpm.alloc_prem, IF(_xlpm.total_tiv=0, 0, _xlpm.sched_prem * _xlpm.loc_tiv / _xlpm.total_tiv),
  _xlpm.cap_prem, IFERROR(VLOOKUP(AG26, 'Rating Factors'!$AM:$AN, 2, FALSE), 0),
  IF(_xlpm.base_ok,
     IF(_xlpm.is_full, _xlpm.alloc_prem, _xlpm.cap_prem),
     0
  )
)</f>
        <v>0</v>
      </c>
      <c r="BB26" s="143">
        <f t="shared" si="0"/>
        <v>0</v>
      </c>
      <c r="BC26" s="144">
        <f t="shared" si="7"/>
        <v>0</v>
      </c>
      <c r="BD26" s="145">
        <f t="shared" si="8"/>
        <v>0</v>
      </c>
      <c r="BE26" s="115">
        <f t="shared" si="1"/>
        <v>0</v>
      </c>
      <c r="BF26" s="106" t="str">
        <f t="shared" si="9"/>
        <v/>
      </c>
      <c r="BG26"/>
      <c r="BI26" s="67" t="str" cm="1">
        <f t="array" ref="BI26">IF(E26="","",LEFT(_xlfn.REGEXEXTRACT(UPPER(E26),"[A-Z][0-9][A-Z][ -]?[0-9][A-Z][0-9]"),3))</f>
        <v/>
      </c>
      <c r="BJ26" s="66" t="str">
        <f>IF(E26="","",_xlfn.XLOOKUP(BI26, CrestaP!B:B, CrestaP!D:D, ""))</f>
        <v/>
      </c>
      <c r="BK26" s="66" t="str">
        <f>IFERROR(
  INDEX(
    CrestaP!H4:M9,
    MATCH(J26, {"Frame","Brick Veneer","Joisted Masonry","Non-Combustible","Masonry Non-Combustible","Fire resistive"}, 0),
    MATCH(TEXT(BJ26,"@"), {"16","E5","E4","E3","E2","E1"}, 0)
  ),
  ""
)</f>
        <v/>
      </c>
    </row>
    <row r="27" spans="2:63" hidden="1" x14ac:dyDescent="0.25">
      <c r="B27"/>
      <c r="C27" s="24">
        <f t="shared" si="10"/>
        <v>20</v>
      </c>
      <c r="D27" s="25" t="s">
        <v>30</v>
      </c>
      <c r="E27" s="175"/>
      <c r="F27" s="89"/>
      <c r="G27" s="89"/>
      <c r="H27" s="104"/>
      <c r="I27" s="104"/>
      <c r="J27" s="89"/>
      <c r="K27" s="89"/>
      <c r="L27" s="89"/>
      <c r="M27" s="89"/>
      <c r="N27" s="89"/>
      <c r="O27" s="89"/>
      <c r="P27" s="104"/>
      <c r="Q27" s="104"/>
      <c r="R27" s="89"/>
      <c r="S27" s="89"/>
      <c r="T27" s="89"/>
      <c r="U27" s="25"/>
      <c r="V27" s="119"/>
      <c r="W27" s="19"/>
      <c r="X27" s="104"/>
      <c r="Y27" s="104"/>
      <c r="Z27" s="104"/>
      <c r="AA27" s="19"/>
      <c r="AB27" s="160" t="str">
        <f>IF(OR(AA27="",G27=""),"",VLOOKUP(G27,'Rating Factors'!$C:$E,3,FALSE)*AA27)</f>
        <v/>
      </c>
      <c r="AC27" s="20"/>
      <c r="AD27" s="20"/>
      <c r="AE27" s="104"/>
      <c r="AF27" s="96"/>
      <c r="AG27" s="20"/>
      <c r="AH27" s="119"/>
      <c r="AI27" s="19"/>
      <c r="AJ27" s="19"/>
      <c r="AK27" s="19"/>
      <c r="AL27" s="96"/>
      <c r="AM27" s="119"/>
      <c r="AN27" s="19"/>
      <c r="AO27" s="20"/>
      <c r="AP27" s="119"/>
      <c r="AQ27" s="115">
        <f t="shared" si="2"/>
        <v>0</v>
      </c>
      <c r="AR27" s="171">
        <f>IF(OR(Z27="",N(Z27)=0),
IF(
N(H27)+N(I27)=0,
0,
MAX(
IFERROR(VLOOKUP(AE27,'Rating Factors'!$BJ:$BK,2,FALSE),0),
((N(H27)*'Rating Factors'!$BF$2)+(N(I27)*'Rating Factors'!$BG$2))
*IFERROR(VLOOKUP(AE27,'Rating Factors'!$Z:$AA,2,FALSE),1)
*IFERROR(VLOOKUP(AJ27,'Rating Factors'!$AD:$AE,2,FALSE),1)
*IFERROR(VLOOKUP(SUM($H$8:$H$127),'Rating Factors'!$BM:$BN,2),1)
*IFERROR(VLOOKUP(SUM($I$8:$I$127),'Rating Factors'!$BH:$BI,2),1)
)
),
MAX(IFERROR(VLOOKUP(AE27,'Rating Factors'!$BJ:$BL,3,FALSE),0),
((N(I27)*'Rating Factors'!$BG$2))
*IFERROR(VLOOKUP(AE27,'Rating Factors'!$Z:$AA,2,FALSE),1)
*IFERROR(VLOOKUP(AJ27,'Rating Factors'!$AD:$AE,2,FALSE),1)
*N(AA27)* IFERROR(VLOOKUP(G27,'Rating Factors'!$C:$D,2,FALSE),1)*0.0045
))</f>
        <v>0</v>
      </c>
      <c r="AS27" s="172">
        <f t="shared" si="3"/>
        <v>0</v>
      </c>
      <c r="AT27" s="115">
        <f t="shared" si="11"/>
        <v>0</v>
      </c>
      <c r="AU27" s="173" t="str">
        <f t="shared" si="4"/>
        <v/>
      </c>
      <c r="AV27" s="174" t="str">
        <f t="shared" si="5"/>
        <v/>
      </c>
      <c r="AW27" s="119"/>
      <c r="AX27" s="141">
        <f>IF(
  OR(
    IFERROR(VLOOKUP(F27,'Rating Factors'!$A:$B,2,FALSE)="Decline",FALSE),
    IFERROR(VLOOKUP(G27,'Rating Factors'!$C:$D,2,FALSE)="Decline",FALSE),
    IFERROR(VLOOKUP(J27,'Rating Factors'!$F:$G,2,FALSE)="Decline",FALSE),
    IFERROR(VLOOKUP(K27,'Rating Factors'!$H:$I,2,FALSE)="Decline",FALSE),
    IFERROR(VLOOKUP(L27,'Rating Factors'!$J:$K,2,FALSE)="Decline",FALSE),
    IFERROR(VLOOKUP(M27,'Rating Factors'!$L:$M,2,FALSE)="Decline",FALSE),
    IFERROR(VLOOKUP(N27,'Rating Factors'!$N:$O,2,FALSE)="Decline",FALSE),
    IFERROR(VLOOKUP(O27,'Rating Factors'!$P:$Q,2,FALSE)="Decline",FALSE),
    IFERROR(VLOOKUP(P27,'Rating Factors'!$BO:$BP,2,FALSE)="Decline",FALSE),
    IFERROR(VLOOKUP(Q27,'Rating Factors'!$BQ:$BR,2,FALSE)="Decline",FALSE),
    IFERROR(VLOOKUP(R27,'Rating Factors'!$R:$S,2,FALSE)="Decline",FALSE),
    IFERROR(VLOOKUP(S27,'Rating Factors'!$T:$U,2,FALSE)="Decline",FALSE),
    IFERROR(VLOOKUP(T27,'Rating Factors'!$V:$W,2,FALSE)="Decline",FALSE),
    IFERROR(VLOOKUP(U27,'Rating Factors'!$X:$Y,2,FALSE)="Decline",FALSE),
    IFERROR(VLOOKUP(AI27,'Rating Factors'!$AB:$AC,2,FALSE)="Decline",FALSE),
    IFERROR(VLOOKUP(AK27,'Rating Factors'!$AK:$AL,2,FALSE)="Decline",FALSE),
    IFERROR(VLOOKUP(AL27,'Rating Factors'!$AP:$AQ,2,FALSE)="Decline",FALSE)
  ),
  "Declined",
  SUM(
    W27,
    X27,
    Y27*
      IFERROR(VLOOKUP(AD27,'Rating Factors'!$BS:$BT,2,FALSE),1),
    Z27*
      IFERROR(VLOOKUP(AD27,'Rating Factors'!$BS:$BT,2,FALSE),1)*
      IFERROR(VLOOKUP(AC27,'Rating Factors'!$BV:$BW,2,FALSE),1),
  )
  * IFERROR(VLOOKUP(F27,'Rating Factors'!$A:$B,2,FALSE),1)
  * IFERROR(VLOOKUP(G27,'Rating Factors'!$C:$D,2,FALSE),1)
  * IFERROR(VLOOKUP(J27,'Rating Factors'!$F:$G,2,FALSE),1)
  * IFERROR(VLOOKUP(K27,'Rating Factors'!$H:$I,2,FALSE),1)
  * IFERROR(VLOOKUP(L27,'Rating Factors'!$J:$K,2,FALSE),1)
  * IFERROR(VLOOKUP(M27,'Rating Factors'!$L:$M,2,FALSE),1)
  * IFERROR(VLOOKUP(N27,'Rating Factors'!$N:$O,2,FALSE),1)
  * IFERROR(VLOOKUP(O27,'Rating Factors'!$P:$Q,2,FALSE),1)
  * IFERROR(VLOOKUP(P27,'Rating Factors'!$BO:$BP,2,FALSE),1)
  * IFERROR(VLOOKUP(Q27,'Rating Factors'!$BQ:$BR,2,FALSE),1)
  * IFERROR(VLOOKUP(R27,'Rating Factors'!$R:$S,2,FALSE),1)
  * IFERROR(VLOOKUP(S27,'Rating Factors'!$T:$U,2,FALSE),1)
  * IFERROR(VLOOKUP(T27,'Rating Factors'!$V:$W,2,FALSE),1)
  * IFERROR(VLOOKUP(U27,'Rating Factors'!$X:$Y,2,FALSE),1)
  * IFERROR(VLOOKUP(AI27,'Rating Factors'!$AB:$AC,2,FALSE),1)
  * IFERROR(VLOOKUP(AK27,'Rating Factors'!$AK:$AL,2,FALSE),1)
  * IFERROR(VLOOKUP(AL27,'Rating Factors'!$AP:$AQ,2,FALSE),1)
  * IFERROR(LOOKUP(SUM($W$8:$Z$127),'Rating Factors'!$BD:$BD,'Rating Factors'!$BE:$BE),1))</f>
        <v>0</v>
      </c>
      <c r="AY27" s="158">
        <f>IF(OR(AQ27="Declined", AN27&lt;&gt;"Y"),
   0,
   N(AT27)*N('Rating Factors'!$AG$2)/100
)</f>
        <v>0</v>
      </c>
      <c r="AZ27" s="158">
        <f t="shared" si="6"/>
        <v>0</v>
      </c>
      <c r="BA27" s="142">
        <f>_xlfn.LET(
  _xlpm.base_ok, AND(AQ27&lt;&gt;"Declined", N(AQ27)&gt;0),
  _xlpm.is_full, EXACT(AG27, "Full Limit"),
  _xlpm.total_tiv, SUM($AT$8:$AT$127),
  _xlpm.loc_tiv, N(BE27),
  _xlpm.full_rate, N('Rating Factors'!$AO$10),
  _xlpm.min_per_loc, N('Rating Factors'!$AN$10),
  _xlpm.n_locs, N(E24),
  _xlpm.sched_prem, MAX(_xlpm.total_tiv*_xlpm.full_rate, _xlpm.min_per_loc*_xlpm.n_locs),
  _xlpm.alloc_prem, IF(_xlpm.total_tiv=0, 0, _xlpm.sched_prem * _xlpm.loc_tiv / _xlpm.total_tiv),
  _xlpm.cap_prem, IFERROR(VLOOKUP(AG27, 'Rating Factors'!$AM:$AN, 2, FALSE), 0),
  IF(_xlpm.base_ok,
     IF(_xlpm.is_full, _xlpm.alloc_prem, _xlpm.cap_prem),
     0
  )
)</f>
        <v>0</v>
      </c>
      <c r="BB27" s="143">
        <f t="shared" si="0"/>
        <v>0</v>
      </c>
      <c r="BC27" s="144">
        <f t="shared" si="7"/>
        <v>0</v>
      </c>
      <c r="BD27" s="145">
        <f t="shared" si="8"/>
        <v>0</v>
      </c>
      <c r="BE27" s="115">
        <f t="shared" si="1"/>
        <v>0</v>
      </c>
      <c r="BF27" s="106" t="str">
        <f t="shared" si="9"/>
        <v/>
      </c>
      <c r="BG27"/>
      <c r="BI27" s="67" t="str" cm="1">
        <f t="array" ref="BI27">IF(E27="","",LEFT(_xlfn.REGEXEXTRACT(UPPER(E27),"[A-Z][0-9][A-Z][ -]?[0-9][A-Z][0-9]"),3))</f>
        <v/>
      </c>
      <c r="BJ27" s="66" t="str">
        <f>IF(E27="","",_xlfn.XLOOKUP(BI27, CrestaP!B:B, CrestaP!D:D, ""))</f>
        <v/>
      </c>
      <c r="BK27" s="66" t="str">
        <f>IFERROR(
  INDEX(
    CrestaP!H4:M9,
    MATCH(J27, {"Frame","Brick Veneer","Joisted Masonry","Non-Combustible","Masonry Non-Combustible","Fire resistive"}, 0),
    MATCH(TEXT(BJ27,"@"), {"16","E5","E4","E3","E2","E1"}, 0)
  ),
  ""
)</f>
        <v/>
      </c>
    </row>
    <row r="28" spans="2:63" hidden="1" x14ac:dyDescent="0.25">
      <c r="B28"/>
      <c r="C28" s="24">
        <f t="shared" si="10"/>
        <v>21</v>
      </c>
      <c r="D28" s="25" t="s">
        <v>30</v>
      </c>
      <c r="E28" s="175"/>
      <c r="F28" s="89"/>
      <c r="G28" s="89"/>
      <c r="H28" s="104"/>
      <c r="I28" s="104"/>
      <c r="J28" s="89"/>
      <c r="K28" s="89"/>
      <c r="L28" s="89"/>
      <c r="M28" s="89"/>
      <c r="N28" s="89"/>
      <c r="O28" s="89"/>
      <c r="P28" s="104"/>
      <c r="Q28" s="104"/>
      <c r="R28" s="89"/>
      <c r="S28" s="89"/>
      <c r="T28" s="89"/>
      <c r="U28" s="25"/>
      <c r="V28" s="119"/>
      <c r="W28" s="19"/>
      <c r="X28" s="104"/>
      <c r="Y28" s="104"/>
      <c r="Z28" s="104"/>
      <c r="AA28" s="19"/>
      <c r="AB28" s="160" t="str">
        <f>IF(OR(AA28="",G28=""),"",VLOOKUP(G28,'Rating Factors'!$C:$E,3,FALSE)*AA28)</f>
        <v/>
      </c>
      <c r="AC28" s="20"/>
      <c r="AD28" s="20"/>
      <c r="AE28" s="104"/>
      <c r="AF28" s="96"/>
      <c r="AG28" s="20"/>
      <c r="AH28" s="119"/>
      <c r="AI28" s="19"/>
      <c r="AJ28" s="19"/>
      <c r="AK28" s="19"/>
      <c r="AL28" s="96"/>
      <c r="AM28" s="119"/>
      <c r="AN28" s="19"/>
      <c r="AO28" s="20"/>
      <c r="AP28" s="119"/>
      <c r="AQ28" s="115">
        <f t="shared" si="2"/>
        <v>0</v>
      </c>
      <c r="AR28" s="171">
        <f>IF(OR(Z28="",N(Z28)=0),
IF(
N(H28)+N(I28)=0,
0,
MAX(
IFERROR(VLOOKUP(AE28,'Rating Factors'!$BJ:$BK,2,FALSE),0),
((N(H28)*'Rating Factors'!$BF$2)+(N(I28)*'Rating Factors'!$BG$2))
*IFERROR(VLOOKUP(AE28,'Rating Factors'!$Z:$AA,2,FALSE),1)
*IFERROR(VLOOKUP(AJ28,'Rating Factors'!$AD:$AE,2,FALSE),1)
*IFERROR(VLOOKUP(SUM($H$8:$H$127),'Rating Factors'!$BM:$BN,2),1)
*IFERROR(VLOOKUP(SUM($I$8:$I$127),'Rating Factors'!$BH:$BI,2),1)
)
),
MAX(IFERROR(VLOOKUP(AE28,'Rating Factors'!$BJ:$BL,3,FALSE),0),
((N(I28)*'Rating Factors'!$BG$2))
*IFERROR(VLOOKUP(AE28,'Rating Factors'!$Z:$AA,2,FALSE),1)
*IFERROR(VLOOKUP(AJ28,'Rating Factors'!$AD:$AE,2,FALSE),1)
*N(AA28)* IFERROR(VLOOKUP(G28,'Rating Factors'!$C:$D,2,FALSE),1)*0.0045
))</f>
        <v>0</v>
      </c>
      <c r="AS28" s="172">
        <f t="shared" si="3"/>
        <v>0</v>
      </c>
      <c r="AT28" s="115">
        <f t="shared" si="11"/>
        <v>0</v>
      </c>
      <c r="AU28" s="173" t="str">
        <f t="shared" si="4"/>
        <v/>
      </c>
      <c r="AV28" s="174" t="str">
        <f t="shared" si="5"/>
        <v/>
      </c>
      <c r="AW28" s="119"/>
      <c r="AX28" s="141">
        <f>IF(
  OR(
    IFERROR(VLOOKUP(F28,'Rating Factors'!$A:$B,2,FALSE)="Decline",FALSE),
    IFERROR(VLOOKUP(G28,'Rating Factors'!$C:$D,2,FALSE)="Decline",FALSE),
    IFERROR(VLOOKUP(J28,'Rating Factors'!$F:$G,2,FALSE)="Decline",FALSE),
    IFERROR(VLOOKUP(K28,'Rating Factors'!$H:$I,2,FALSE)="Decline",FALSE),
    IFERROR(VLOOKUP(L28,'Rating Factors'!$J:$K,2,FALSE)="Decline",FALSE),
    IFERROR(VLOOKUP(M28,'Rating Factors'!$L:$M,2,FALSE)="Decline",FALSE),
    IFERROR(VLOOKUP(N28,'Rating Factors'!$N:$O,2,FALSE)="Decline",FALSE),
    IFERROR(VLOOKUP(O28,'Rating Factors'!$P:$Q,2,FALSE)="Decline",FALSE),
    IFERROR(VLOOKUP(P28,'Rating Factors'!$BO:$BP,2,FALSE)="Decline",FALSE),
    IFERROR(VLOOKUP(Q28,'Rating Factors'!$BQ:$BR,2,FALSE)="Decline",FALSE),
    IFERROR(VLOOKUP(R28,'Rating Factors'!$R:$S,2,FALSE)="Decline",FALSE),
    IFERROR(VLOOKUP(S28,'Rating Factors'!$T:$U,2,FALSE)="Decline",FALSE),
    IFERROR(VLOOKUP(T28,'Rating Factors'!$V:$W,2,FALSE)="Decline",FALSE),
    IFERROR(VLOOKUP(U28,'Rating Factors'!$X:$Y,2,FALSE)="Decline",FALSE),
    IFERROR(VLOOKUP(AI28,'Rating Factors'!$AB:$AC,2,FALSE)="Decline",FALSE),
    IFERROR(VLOOKUP(AK28,'Rating Factors'!$AK:$AL,2,FALSE)="Decline",FALSE),
    IFERROR(VLOOKUP(AL28,'Rating Factors'!$AP:$AQ,2,FALSE)="Decline",FALSE)
  ),
  "Declined",
  SUM(
    W28,
    X28,
    Y28*
      IFERROR(VLOOKUP(AD28,'Rating Factors'!$BS:$BT,2,FALSE),1),
    Z28*
      IFERROR(VLOOKUP(AD28,'Rating Factors'!$BS:$BT,2,FALSE),1)*
      IFERROR(VLOOKUP(AC28,'Rating Factors'!$BV:$BW,2,FALSE),1),
  )
  * IFERROR(VLOOKUP(F28,'Rating Factors'!$A:$B,2,FALSE),1)
  * IFERROR(VLOOKUP(G28,'Rating Factors'!$C:$D,2,FALSE),1)
  * IFERROR(VLOOKUP(J28,'Rating Factors'!$F:$G,2,FALSE),1)
  * IFERROR(VLOOKUP(K28,'Rating Factors'!$H:$I,2,FALSE),1)
  * IFERROR(VLOOKUP(L28,'Rating Factors'!$J:$K,2,FALSE),1)
  * IFERROR(VLOOKUP(M28,'Rating Factors'!$L:$M,2,FALSE),1)
  * IFERROR(VLOOKUP(N28,'Rating Factors'!$N:$O,2,FALSE),1)
  * IFERROR(VLOOKUP(O28,'Rating Factors'!$P:$Q,2,FALSE),1)
  * IFERROR(VLOOKUP(P28,'Rating Factors'!$BO:$BP,2,FALSE),1)
  * IFERROR(VLOOKUP(Q28,'Rating Factors'!$BQ:$BR,2,FALSE),1)
  * IFERROR(VLOOKUP(R28,'Rating Factors'!$R:$S,2,FALSE),1)
  * IFERROR(VLOOKUP(S28,'Rating Factors'!$T:$U,2,FALSE),1)
  * IFERROR(VLOOKUP(T28,'Rating Factors'!$V:$W,2,FALSE),1)
  * IFERROR(VLOOKUP(U28,'Rating Factors'!$X:$Y,2,FALSE),1)
  * IFERROR(VLOOKUP(AI28,'Rating Factors'!$AB:$AC,2,FALSE),1)
  * IFERROR(VLOOKUP(AK28,'Rating Factors'!$AK:$AL,2,FALSE),1)
  * IFERROR(VLOOKUP(AL28,'Rating Factors'!$AP:$AQ,2,FALSE),1)
  * IFERROR(LOOKUP(SUM($W$8:$Z$127),'Rating Factors'!$BD:$BD,'Rating Factors'!$BE:$BE),1))</f>
        <v>0</v>
      </c>
      <c r="AY28" s="158">
        <f>IF(OR(AQ28="Declined", AN28&lt;&gt;"Y"),
   0,
   N(AT28)*N('Rating Factors'!$AG$2)/100
)</f>
        <v>0</v>
      </c>
      <c r="AZ28" s="158">
        <f t="shared" si="6"/>
        <v>0</v>
      </c>
      <c r="BA28" s="142">
        <f>_xlfn.LET(
  _xlpm.base_ok, AND(AQ28&lt;&gt;"Declined", N(AQ28)&gt;0),
  _xlpm.is_full, EXACT(AG28, "Full Limit"),
  _xlpm.total_tiv, SUM($AT$8:$AT$127),
  _xlpm.loc_tiv, N(BE28),
  _xlpm.full_rate, N('Rating Factors'!$AO$10),
  _xlpm.min_per_loc, N('Rating Factors'!$AN$10),
  _xlpm.n_locs, N(E25),
  _xlpm.sched_prem, MAX(_xlpm.total_tiv*_xlpm.full_rate, _xlpm.min_per_loc*_xlpm.n_locs),
  _xlpm.alloc_prem, IF(_xlpm.total_tiv=0, 0, _xlpm.sched_prem * _xlpm.loc_tiv / _xlpm.total_tiv),
  _xlpm.cap_prem, IFERROR(VLOOKUP(AG28, 'Rating Factors'!$AM:$AN, 2, FALSE), 0),
  IF(_xlpm.base_ok,
     IF(_xlpm.is_full, _xlpm.alloc_prem, _xlpm.cap_prem),
     0
  )
)</f>
        <v>0</v>
      </c>
      <c r="BB28" s="143">
        <f t="shared" si="0"/>
        <v>0</v>
      </c>
      <c r="BC28" s="144">
        <f t="shared" si="7"/>
        <v>0</v>
      </c>
      <c r="BD28" s="145">
        <f t="shared" si="8"/>
        <v>0</v>
      </c>
      <c r="BE28" s="115">
        <f t="shared" si="1"/>
        <v>0</v>
      </c>
      <c r="BF28" s="106" t="str">
        <f t="shared" si="9"/>
        <v/>
      </c>
      <c r="BG28"/>
      <c r="BI28" s="67" t="str" cm="1">
        <f t="array" ref="BI28">IF(E28="","",LEFT(_xlfn.REGEXEXTRACT(UPPER(E28),"[A-Z][0-9][A-Z][ -]?[0-9][A-Z][0-9]"),3))</f>
        <v/>
      </c>
      <c r="BJ28" s="66" t="str">
        <f>IF(E28="","",_xlfn.XLOOKUP(BI28, CrestaP!B:B, CrestaP!D:D, ""))</f>
        <v/>
      </c>
      <c r="BK28" s="66" t="str">
        <f>IFERROR(
  INDEX(
    CrestaP!H4:M9,
    MATCH(J28, {"Frame","Brick Veneer","Joisted Masonry","Non-Combustible","Masonry Non-Combustible","Fire resistive"}, 0),
    MATCH(TEXT(BJ28,"@"), {"16","E5","E4","E3","E2","E1"}, 0)
  ),
  ""
)</f>
        <v/>
      </c>
    </row>
    <row r="29" spans="2:63" hidden="1" x14ac:dyDescent="0.25">
      <c r="B29"/>
      <c r="C29" s="24">
        <f t="shared" si="10"/>
        <v>22</v>
      </c>
      <c r="D29" s="25" t="s">
        <v>30</v>
      </c>
      <c r="E29" s="175"/>
      <c r="F29" s="89"/>
      <c r="G29" s="89"/>
      <c r="H29" s="104"/>
      <c r="I29" s="104"/>
      <c r="J29" s="89"/>
      <c r="K29" s="89"/>
      <c r="L29" s="89"/>
      <c r="M29" s="89"/>
      <c r="N29" s="89"/>
      <c r="O29" s="89"/>
      <c r="P29" s="104"/>
      <c r="Q29" s="104"/>
      <c r="R29" s="89"/>
      <c r="S29" s="89"/>
      <c r="T29" s="89"/>
      <c r="U29" s="25"/>
      <c r="V29" s="119"/>
      <c r="W29" s="19"/>
      <c r="X29" s="104"/>
      <c r="Y29" s="104"/>
      <c r="Z29" s="104"/>
      <c r="AA29" s="19"/>
      <c r="AB29" s="160" t="str">
        <f>IF(OR(AA29="",G29=""),"",VLOOKUP(G29,'Rating Factors'!$C:$E,3,FALSE)*AA29)</f>
        <v/>
      </c>
      <c r="AC29" s="20"/>
      <c r="AD29" s="20"/>
      <c r="AE29" s="104"/>
      <c r="AF29" s="96"/>
      <c r="AG29" s="20"/>
      <c r="AH29" s="119"/>
      <c r="AI29" s="19"/>
      <c r="AJ29" s="19"/>
      <c r="AK29" s="19"/>
      <c r="AL29" s="96"/>
      <c r="AM29" s="119"/>
      <c r="AN29" s="19"/>
      <c r="AO29" s="20"/>
      <c r="AP29" s="119"/>
      <c r="AQ29" s="115">
        <f t="shared" si="2"/>
        <v>0</v>
      </c>
      <c r="AR29" s="171">
        <f>IF(OR(Z29="",N(Z29)=0),
IF(
N(H29)+N(I29)=0,
0,
MAX(
IFERROR(VLOOKUP(AE29,'Rating Factors'!$BJ:$BK,2,FALSE),0),
((N(H29)*'Rating Factors'!$BF$2)+(N(I29)*'Rating Factors'!$BG$2))
*IFERROR(VLOOKUP(AE29,'Rating Factors'!$Z:$AA,2,FALSE),1)
*IFERROR(VLOOKUP(AJ29,'Rating Factors'!$AD:$AE,2,FALSE),1)
*IFERROR(VLOOKUP(SUM($H$8:$H$127),'Rating Factors'!$BM:$BN,2),1)
*IFERROR(VLOOKUP(SUM($I$8:$I$127),'Rating Factors'!$BH:$BI,2),1)
)
),
MAX(IFERROR(VLOOKUP(AE29,'Rating Factors'!$BJ:$BL,3,FALSE),0),
((N(I29)*'Rating Factors'!$BG$2))
*IFERROR(VLOOKUP(AE29,'Rating Factors'!$Z:$AA,2,FALSE),1)
*IFERROR(VLOOKUP(AJ29,'Rating Factors'!$AD:$AE,2,FALSE),1)
*N(AA29)* IFERROR(VLOOKUP(G29,'Rating Factors'!$C:$D,2,FALSE),1)*0.0045
))</f>
        <v>0</v>
      </c>
      <c r="AS29" s="172">
        <f t="shared" si="3"/>
        <v>0</v>
      </c>
      <c r="AT29" s="115">
        <f t="shared" si="11"/>
        <v>0</v>
      </c>
      <c r="AU29" s="173" t="str">
        <f t="shared" si="4"/>
        <v/>
      </c>
      <c r="AV29" s="174" t="str">
        <f t="shared" si="5"/>
        <v/>
      </c>
      <c r="AW29" s="119"/>
      <c r="AX29" s="141">
        <f>IF(
  OR(
    IFERROR(VLOOKUP(F29,'Rating Factors'!$A:$B,2,FALSE)="Decline",FALSE),
    IFERROR(VLOOKUP(G29,'Rating Factors'!$C:$D,2,FALSE)="Decline",FALSE),
    IFERROR(VLOOKUP(J29,'Rating Factors'!$F:$G,2,FALSE)="Decline",FALSE),
    IFERROR(VLOOKUP(K29,'Rating Factors'!$H:$I,2,FALSE)="Decline",FALSE),
    IFERROR(VLOOKUP(L29,'Rating Factors'!$J:$K,2,FALSE)="Decline",FALSE),
    IFERROR(VLOOKUP(M29,'Rating Factors'!$L:$M,2,FALSE)="Decline",FALSE),
    IFERROR(VLOOKUP(N29,'Rating Factors'!$N:$O,2,FALSE)="Decline",FALSE),
    IFERROR(VLOOKUP(O29,'Rating Factors'!$P:$Q,2,FALSE)="Decline",FALSE),
    IFERROR(VLOOKUP(P29,'Rating Factors'!$BO:$BP,2,FALSE)="Decline",FALSE),
    IFERROR(VLOOKUP(Q29,'Rating Factors'!$BQ:$BR,2,FALSE)="Decline",FALSE),
    IFERROR(VLOOKUP(R29,'Rating Factors'!$R:$S,2,FALSE)="Decline",FALSE),
    IFERROR(VLOOKUP(S29,'Rating Factors'!$T:$U,2,FALSE)="Decline",FALSE),
    IFERROR(VLOOKUP(T29,'Rating Factors'!$V:$W,2,FALSE)="Decline",FALSE),
    IFERROR(VLOOKUP(U29,'Rating Factors'!$X:$Y,2,FALSE)="Decline",FALSE),
    IFERROR(VLOOKUP(AI29,'Rating Factors'!$AB:$AC,2,FALSE)="Decline",FALSE),
    IFERROR(VLOOKUP(AK29,'Rating Factors'!$AK:$AL,2,FALSE)="Decline",FALSE),
    IFERROR(VLOOKUP(AL29,'Rating Factors'!$AP:$AQ,2,FALSE)="Decline",FALSE)
  ),
  "Declined",
  SUM(
    W29,
    X29,
    Y29*
      IFERROR(VLOOKUP(AD29,'Rating Factors'!$BS:$BT,2,FALSE),1),
    Z29*
      IFERROR(VLOOKUP(AD29,'Rating Factors'!$BS:$BT,2,FALSE),1)*
      IFERROR(VLOOKUP(AC29,'Rating Factors'!$BV:$BW,2,FALSE),1),
  )
  * IFERROR(VLOOKUP(F29,'Rating Factors'!$A:$B,2,FALSE),1)
  * IFERROR(VLOOKUP(G29,'Rating Factors'!$C:$D,2,FALSE),1)
  * IFERROR(VLOOKUP(J29,'Rating Factors'!$F:$G,2,FALSE),1)
  * IFERROR(VLOOKUP(K29,'Rating Factors'!$H:$I,2,FALSE),1)
  * IFERROR(VLOOKUP(L29,'Rating Factors'!$J:$K,2,FALSE),1)
  * IFERROR(VLOOKUP(M29,'Rating Factors'!$L:$M,2,FALSE),1)
  * IFERROR(VLOOKUP(N29,'Rating Factors'!$N:$O,2,FALSE),1)
  * IFERROR(VLOOKUP(O29,'Rating Factors'!$P:$Q,2,FALSE),1)
  * IFERROR(VLOOKUP(P29,'Rating Factors'!$BO:$BP,2,FALSE),1)
  * IFERROR(VLOOKUP(Q29,'Rating Factors'!$BQ:$BR,2,FALSE),1)
  * IFERROR(VLOOKUP(R29,'Rating Factors'!$R:$S,2,FALSE),1)
  * IFERROR(VLOOKUP(S29,'Rating Factors'!$T:$U,2,FALSE),1)
  * IFERROR(VLOOKUP(T29,'Rating Factors'!$V:$W,2,FALSE),1)
  * IFERROR(VLOOKUP(U29,'Rating Factors'!$X:$Y,2,FALSE),1)
  * IFERROR(VLOOKUP(AI29,'Rating Factors'!$AB:$AC,2,FALSE),1)
  * IFERROR(VLOOKUP(AK29,'Rating Factors'!$AK:$AL,2,FALSE),1)
  * IFERROR(VLOOKUP(AL29,'Rating Factors'!$AP:$AQ,2,FALSE),1)
  * IFERROR(LOOKUP(SUM($W$8:$Z$127),'Rating Factors'!$BD:$BD,'Rating Factors'!$BE:$BE),1))</f>
        <v>0</v>
      </c>
      <c r="AY29" s="158">
        <f>IF(OR(AQ29="Declined", AN29&lt;&gt;"Y"),
   0,
   N(AT29)*N('Rating Factors'!$AG$2)/100
)</f>
        <v>0</v>
      </c>
      <c r="AZ29" s="158">
        <f t="shared" si="6"/>
        <v>0</v>
      </c>
      <c r="BA29" s="142">
        <f>_xlfn.LET(
  _xlpm.base_ok, AND(AQ29&lt;&gt;"Declined", N(AQ29)&gt;0),
  _xlpm.is_full, EXACT(AG29, "Full Limit"),
  _xlpm.total_tiv, SUM($AT$8:$AT$127),
  _xlpm.loc_tiv, N(BE29),
  _xlpm.full_rate, N('Rating Factors'!$AO$10),
  _xlpm.min_per_loc, N('Rating Factors'!$AN$10),
  _xlpm.n_locs, N(E26),
  _xlpm.sched_prem, MAX(_xlpm.total_tiv*_xlpm.full_rate, _xlpm.min_per_loc*_xlpm.n_locs),
  _xlpm.alloc_prem, IF(_xlpm.total_tiv=0, 0, _xlpm.sched_prem * _xlpm.loc_tiv / _xlpm.total_tiv),
  _xlpm.cap_prem, IFERROR(VLOOKUP(AG29, 'Rating Factors'!$AM:$AN, 2, FALSE), 0),
  IF(_xlpm.base_ok,
     IF(_xlpm.is_full, _xlpm.alloc_prem, _xlpm.cap_prem),
     0
  )
)</f>
        <v>0</v>
      </c>
      <c r="BB29" s="143">
        <f t="shared" si="0"/>
        <v>0</v>
      </c>
      <c r="BC29" s="144">
        <f t="shared" si="7"/>
        <v>0</v>
      </c>
      <c r="BD29" s="145">
        <f t="shared" si="8"/>
        <v>0</v>
      </c>
      <c r="BE29" s="115">
        <f t="shared" si="1"/>
        <v>0</v>
      </c>
      <c r="BF29" s="106" t="str">
        <f t="shared" si="9"/>
        <v/>
      </c>
      <c r="BG29"/>
      <c r="BI29" s="67" t="str" cm="1">
        <f t="array" ref="BI29">IF(E29="","",LEFT(_xlfn.REGEXEXTRACT(UPPER(E29),"[A-Z][0-9][A-Z][ -]?[0-9][A-Z][0-9]"),3))</f>
        <v/>
      </c>
      <c r="BJ29" s="66" t="str">
        <f>IF(E29="","",_xlfn.XLOOKUP(BI29, CrestaP!B:B, CrestaP!D:D, ""))</f>
        <v/>
      </c>
      <c r="BK29" s="66" t="str">
        <f>IFERROR(
  INDEX(
    CrestaP!H4:M9,
    MATCH(J29, {"Frame","Brick Veneer","Joisted Masonry","Non-Combustible","Masonry Non-Combustible","Fire resistive"}, 0),
    MATCH(TEXT(BJ29,"@"), {"16","E5","E4","E3","E2","E1"}, 0)
  ),
  ""
)</f>
        <v/>
      </c>
    </row>
    <row r="30" spans="2:63" hidden="1" x14ac:dyDescent="0.25">
      <c r="B30"/>
      <c r="C30" s="24">
        <f t="shared" si="10"/>
        <v>23</v>
      </c>
      <c r="D30" s="25" t="s">
        <v>30</v>
      </c>
      <c r="E30" s="175"/>
      <c r="F30" s="89"/>
      <c r="G30" s="89"/>
      <c r="H30" s="104"/>
      <c r="I30" s="104"/>
      <c r="J30" s="89"/>
      <c r="K30" s="89"/>
      <c r="L30" s="89"/>
      <c r="M30" s="89"/>
      <c r="N30" s="89"/>
      <c r="O30" s="89"/>
      <c r="P30" s="104"/>
      <c r="Q30" s="104"/>
      <c r="R30" s="89"/>
      <c r="S30" s="89"/>
      <c r="T30" s="89"/>
      <c r="U30" s="25"/>
      <c r="V30" s="119"/>
      <c r="W30" s="19"/>
      <c r="X30" s="104"/>
      <c r="Y30" s="104"/>
      <c r="Z30" s="104"/>
      <c r="AA30" s="19"/>
      <c r="AB30" s="160" t="str">
        <f>IF(OR(AA30="",G30=""),"",VLOOKUP(G30,'Rating Factors'!$C:$E,3,FALSE)*AA30)</f>
        <v/>
      </c>
      <c r="AC30" s="20"/>
      <c r="AD30" s="20"/>
      <c r="AE30" s="104"/>
      <c r="AF30" s="96"/>
      <c r="AG30" s="20"/>
      <c r="AH30" s="119"/>
      <c r="AI30" s="19"/>
      <c r="AJ30" s="19"/>
      <c r="AK30" s="19"/>
      <c r="AL30" s="96"/>
      <c r="AM30" s="119"/>
      <c r="AN30" s="19"/>
      <c r="AO30" s="20"/>
      <c r="AP30" s="119"/>
      <c r="AQ30" s="115">
        <f t="shared" si="2"/>
        <v>0</v>
      </c>
      <c r="AR30" s="171">
        <f>IF(OR(Z30="",N(Z30)=0),
IF(
N(H30)+N(I30)=0,
0,
MAX(
IFERROR(VLOOKUP(AE30,'Rating Factors'!$BJ:$BK,2,FALSE),0),
((N(H30)*'Rating Factors'!$BF$2)+(N(I30)*'Rating Factors'!$BG$2))
*IFERROR(VLOOKUP(AE30,'Rating Factors'!$Z:$AA,2,FALSE),1)
*IFERROR(VLOOKUP(AJ30,'Rating Factors'!$AD:$AE,2,FALSE),1)
*IFERROR(VLOOKUP(SUM($H$8:$H$127),'Rating Factors'!$BM:$BN,2),1)
*IFERROR(VLOOKUP(SUM($I$8:$I$127),'Rating Factors'!$BH:$BI,2),1)
)
),
MAX(IFERROR(VLOOKUP(AE30,'Rating Factors'!$BJ:$BL,3,FALSE),0),
((N(I30)*'Rating Factors'!$BG$2))
*IFERROR(VLOOKUP(AE30,'Rating Factors'!$Z:$AA,2,FALSE),1)
*IFERROR(VLOOKUP(AJ30,'Rating Factors'!$AD:$AE,2,FALSE),1)
*N(AA30)* IFERROR(VLOOKUP(G30,'Rating Factors'!$C:$D,2,FALSE),1)*0.0045
))</f>
        <v>0</v>
      </c>
      <c r="AS30" s="172">
        <f t="shared" si="3"/>
        <v>0</v>
      </c>
      <c r="AT30" s="115">
        <f t="shared" si="11"/>
        <v>0</v>
      </c>
      <c r="AU30" s="173" t="str">
        <f t="shared" si="4"/>
        <v/>
      </c>
      <c r="AV30" s="174" t="str">
        <f t="shared" si="5"/>
        <v/>
      </c>
      <c r="AW30" s="119"/>
      <c r="AX30" s="141">
        <f>IF(
  OR(
    IFERROR(VLOOKUP(F30,'Rating Factors'!$A:$B,2,FALSE)="Decline",FALSE),
    IFERROR(VLOOKUP(G30,'Rating Factors'!$C:$D,2,FALSE)="Decline",FALSE),
    IFERROR(VLOOKUP(J30,'Rating Factors'!$F:$G,2,FALSE)="Decline",FALSE),
    IFERROR(VLOOKUP(K30,'Rating Factors'!$H:$I,2,FALSE)="Decline",FALSE),
    IFERROR(VLOOKUP(L30,'Rating Factors'!$J:$K,2,FALSE)="Decline",FALSE),
    IFERROR(VLOOKUP(M30,'Rating Factors'!$L:$M,2,FALSE)="Decline",FALSE),
    IFERROR(VLOOKUP(N30,'Rating Factors'!$N:$O,2,FALSE)="Decline",FALSE),
    IFERROR(VLOOKUP(O30,'Rating Factors'!$P:$Q,2,FALSE)="Decline",FALSE),
    IFERROR(VLOOKUP(P30,'Rating Factors'!$BO:$BP,2,FALSE)="Decline",FALSE),
    IFERROR(VLOOKUP(Q30,'Rating Factors'!$BQ:$BR,2,FALSE)="Decline",FALSE),
    IFERROR(VLOOKUP(R30,'Rating Factors'!$R:$S,2,FALSE)="Decline",FALSE),
    IFERROR(VLOOKUP(S30,'Rating Factors'!$T:$U,2,FALSE)="Decline",FALSE),
    IFERROR(VLOOKUP(T30,'Rating Factors'!$V:$W,2,FALSE)="Decline",FALSE),
    IFERROR(VLOOKUP(U30,'Rating Factors'!$X:$Y,2,FALSE)="Decline",FALSE),
    IFERROR(VLOOKUP(AI30,'Rating Factors'!$AB:$AC,2,FALSE)="Decline",FALSE),
    IFERROR(VLOOKUP(AK30,'Rating Factors'!$AK:$AL,2,FALSE)="Decline",FALSE),
    IFERROR(VLOOKUP(AL30,'Rating Factors'!$AP:$AQ,2,FALSE)="Decline",FALSE)
  ),
  "Declined",
  SUM(
    W30,
    X30,
    Y30*
      IFERROR(VLOOKUP(AD30,'Rating Factors'!$BS:$BT,2,FALSE),1),
    Z30*
      IFERROR(VLOOKUP(AD30,'Rating Factors'!$BS:$BT,2,FALSE),1)*
      IFERROR(VLOOKUP(AC30,'Rating Factors'!$BV:$BW,2,FALSE),1),
  )
  * IFERROR(VLOOKUP(F30,'Rating Factors'!$A:$B,2,FALSE),1)
  * IFERROR(VLOOKUP(G30,'Rating Factors'!$C:$D,2,FALSE),1)
  * IFERROR(VLOOKUP(J30,'Rating Factors'!$F:$G,2,FALSE),1)
  * IFERROR(VLOOKUP(K30,'Rating Factors'!$H:$I,2,FALSE),1)
  * IFERROR(VLOOKUP(L30,'Rating Factors'!$J:$K,2,FALSE),1)
  * IFERROR(VLOOKUP(M30,'Rating Factors'!$L:$M,2,FALSE),1)
  * IFERROR(VLOOKUP(N30,'Rating Factors'!$N:$O,2,FALSE),1)
  * IFERROR(VLOOKUP(O30,'Rating Factors'!$P:$Q,2,FALSE),1)
  * IFERROR(VLOOKUP(P30,'Rating Factors'!$BO:$BP,2,FALSE),1)
  * IFERROR(VLOOKUP(Q30,'Rating Factors'!$BQ:$BR,2,FALSE),1)
  * IFERROR(VLOOKUP(R30,'Rating Factors'!$R:$S,2,FALSE),1)
  * IFERROR(VLOOKUP(S30,'Rating Factors'!$T:$U,2,FALSE),1)
  * IFERROR(VLOOKUP(T30,'Rating Factors'!$V:$W,2,FALSE),1)
  * IFERROR(VLOOKUP(U30,'Rating Factors'!$X:$Y,2,FALSE),1)
  * IFERROR(VLOOKUP(AI30,'Rating Factors'!$AB:$AC,2,FALSE),1)
  * IFERROR(VLOOKUP(AK30,'Rating Factors'!$AK:$AL,2,FALSE),1)
  * IFERROR(VLOOKUP(AL30,'Rating Factors'!$AP:$AQ,2,FALSE),1)
  * IFERROR(LOOKUP(SUM($W$8:$Z$127),'Rating Factors'!$BD:$BD,'Rating Factors'!$BE:$BE),1))</f>
        <v>0</v>
      </c>
      <c r="AY30" s="158">
        <f>IF(OR(AQ30="Declined", AN30&lt;&gt;"Y"),
   0,
   N(AT30)*N('Rating Factors'!$AG$2)/100
)</f>
        <v>0</v>
      </c>
      <c r="AZ30" s="158">
        <f t="shared" si="6"/>
        <v>0</v>
      </c>
      <c r="BA30" s="142">
        <f>_xlfn.LET(
  _xlpm.base_ok, AND(AQ30&lt;&gt;"Declined", N(AQ30)&gt;0),
  _xlpm.is_full, EXACT(AG30, "Full Limit"),
  _xlpm.total_tiv, SUM($AT$8:$AT$127),
  _xlpm.loc_tiv, N(BE30),
  _xlpm.full_rate, N('Rating Factors'!$AO$10),
  _xlpm.min_per_loc, N('Rating Factors'!$AN$10),
  _xlpm.n_locs, N(E27),
  _xlpm.sched_prem, MAX(_xlpm.total_tiv*_xlpm.full_rate, _xlpm.min_per_loc*_xlpm.n_locs),
  _xlpm.alloc_prem, IF(_xlpm.total_tiv=0, 0, _xlpm.sched_prem * _xlpm.loc_tiv / _xlpm.total_tiv),
  _xlpm.cap_prem, IFERROR(VLOOKUP(AG30, 'Rating Factors'!$AM:$AN, 2, FALSE), 0),
  IF(_xlpm.base_ok,
     IF(_xlpm.is_full, _xlpm.alloc_prem, _xlpm.cap_prem),
     0
  )
)</f>
        <v>0</v>
      </c>
      <c r="BB30" s="143">
        <f t="shared" si="0"/>
        <v>0</v>
      </c>
      <c r="BC30" s="144">
        <f t="shared" si="7"/>
        <v>0</v>
      </c>
      <c r="BD30" s="145">
        <f t="shared" si="8"/>
        <v>0</v>
      </c>
      <c r="BE30" s="115">
        <f t="shared" si="1"/>
        <v>0</v>
      </c>
      <c r="BF30" s="106" t="str">
        <f t="shared" si="9"/>
        <v/>
      </c>
      <c r="BG30"/>
      <c r="BI30" s="67" t="str" cm="1">
        <f t="array" ref="BI30">IF(E30="","",LEFT(_xlfn.REGEXEXTRACT(UPPER(E30),"[A-Z][0-9][A-Z][ -]?[0-9][A-Z][0-9]"),3))</f>
        <v/>
      </c>
      <c r="BJ30" s="66" t="str">
        <f>IF(E30="","",_xlfn.XLOOKUP(BI30, CrestaP!B:B, CrestaP!D:D, ""))</f>
        <v/>
      </c>
      <c r="BK30" s="66" t="str">
        <f>IFERROR(
  INDEX(
    CrestaP!H4:M9,
    MATCH(J30, {"Frame","Brick Veneer","Joisted Masonry","Non-Combustible","Masonry Non-Combustible","Fire resistive"}, 0),
    MATCH(TEXT(BJ30,"@"), {"16","E5","E4","E3","E2","E1"}, 0)
  ),
  ""
)</f>
        <v/>
      </c>
    </row>
    <row r="31" spans="2:63" hidden="1" x14ac:dyDescent="0.25">
      <c r="B31"/>
      <c r="C31" s="24">
        <f t="shared" si="10"/>
        <v>24</v>
      </c>
      <c r="D31" s="25" t="s">
        <v>30</v>
      </c>
      <c r="E31" s="175"/>
      <c r="F31" s="89"/>
      <c r="G31" s="89"/>
      <c r="H31" s="104"/>
      <c r="I31" s="104"/>
      <c r="J31" s="89"/>
      <c r="K31" s="89"/>
      <c r="L31" s="89"/>
      <c r="M31" s="89"/>
      <c r="N31" s="89"/>
      <c r="O31" s="89"/>
      <c r="P31" s="104"/>
      <c r="Q31" s="104"/>
      <c r="R31" s="89"/>
      <c r="S31" s="89"/>
      <c r="T31" s="89"/>
      <c r="U31" s="25"/>
      <c r="V31" s="119"/>
      <c r="W31" s="19"/>
      <c r="X31" s="104"/>
      <c r="Y31" s="104"/>
      <c r="Z31" s="104"/>
      <c r="AA31" s="19"/>
      <c r="AB31" s="160" t="str">
        <f>IF(OR(AA31="",G31=""),"",VLOOKUP(G31,'Rating Factors'!$C:$E,3,FALSE)*AA31)</f>
        <v/>
      </c>
      <c r="AC31" s="20"/>
      <c r="AD31" s="20"/>
      <c r="AE31" s="104"/>
      <c r="AF31" s="96"/>
      <c r="AG31" s="20"/>
      <c r="AH31" s="119"/>
      <c r="AI31" s="19"/>
      <c r="AJ31" s="19"/>
      <c r="AK31" s="19"/>
      <c r="AL31" s="96"/>
      <c r="AM31" s="119"/>
      <c r="AN31" s="19"/>
      <c r="AO31" s="20"/>
      <c r="AP31" s="119"/>
      <c r="AQ31" s="115">
        <f t="shared" si="2"/>
        <v>0</v>
      </c>
      <c r="AR31" s="171">
        <f>IF(OR(Z31="",N(Z31)=0),
IF(
N(H31)+N(I31)=0,
0,
MAX(
IFERROR(VLOOKUP(AE31,'Rating Factors'!$BJ:$BK,2,FALSE),0),
((N(H31)*'Rating Factors'!$BF$2)+(N(I31)*'Rating Factors'!$BG$2))
*IFERROR(VLOOKUP(AE31,'Rating Factors'!$Z:$AA,2,FALSE),1)
*IFERROR(VLOOKUP(AJ31,'Rating Factors'!$AD:$AE,2,FALSE),1)
*IFERROR(VLOOKUP(SUM($H$8:$H$127),'Rating Factors'!$BM:$BN,2),1)
*IFERROR(VLOOKUP(SUM($I$8:$I$127),'Rating Factors'!$BH:$BI,2),1)
)
),
MAX(IFERROR(VLOOKUP(AE31,'Rating Factors'!$BJ:$BL,3,FALSE),0),
((N(I31)*'Rating Factors'!$BG$2))
*IFERROR(VLOOKUP(AE31,'Rating Factors'!$Z:$AA,2,FALSE),1)
*IFERROR(VLOOKUP(AJ31,'Rating Factors'!$AD:$AE,2,FALSE),1)
*N(AA31)* IFERROR(VLOOKUP(G31,'Rating Factors'!$C:$D,2,FALSE),1)*0.0045
))</f>
        <v>0</v>
      </c>
      <c r="AS31" s="172">
        <f t="shared" si="3"/>
        <v>0</v>
      </c>
      <c r="AT31" s="115">
        <f t="shared" si="11"/>
        <v>0</v>
      </c>
      <c r="AU31" s="173" t="str">
        <f t="shared" si="4"/>
        <v/>
      </c>
      <c r="AV31" s="174" t="str">
        <f t="shared" si="5"/>
        <v/>
      </c>
      <c r="AW31" s="119"/>
      <c r="AX31" s="141">
        <f>IF(
  OR(
    IFERROR(VLOOKUP(F31,'Rating Factors'!$A:$B,2,FALSE)="Decline",FALSE),
    IFERROR(VLOOKUP(G31,'Rating Factors'!$C:$D,2,FALSE)="Decline",FALSE),
    IFERROR(VLOOKUP(J31,'Rating Factors'!$F:$G,2,FALSE)="Decline",FALSE),
    IFERROR(VLOOKUP(K31,'Rating Factors'!$H:$I,2,FALSE)="Decline",FALSE),
    IFERROR(VLOOKUP(L31,'Rating Factors'!$J:$K,2,FALSE)="Decline",FALSE),
    IFERROR(VLOOKUP(M31,'Rating Factors'!$L:$M,2,FALSE)="Decline",FALSE),
    IFERROR(VLOOKUP(N31,'Rating Factors'!$N:$O,2,FALSE)="Decline",FALSE),
    IFERROR(VLOOKUP(O31,'Rating Factors'!$P:$Q,2,FALSE)="Decline",FALSE),
    IFERROR(VLOOKUP(P31,'Rating Factors'!$BO:$BP,2,FALSE)="Decline",FALSE),
    IFERROR(VLOOKUP(Q31,'Rating Factors'!$BQ:$BR,2,FALSE)="Decline",FALSE),
    IFERROR(VLOOKUP(R31,'Rating Factors'!$R:$S,2,FALSE)="Decline",FALSE),
    IFERROR(VLOOKUP(S31,'Rating Factors'!$T:$U,2,FALSE)="Decline",FALSE),
    IFERROR(VLOOKUP(T31,'Rating Factors'!$V:$W,2,FALSE)="Decline",FALSE),
    IFERROR(VLOOKUP(U31,'Rating Factors'!$X:$Y,2,FALSE)="Decline",FALSE),
    IFERROR(VLOOKUP(AI31,'Rating Factors'!$AB:$AC,2,FALSE)="Decline",FALSE),
    IFERROR(VLOOKUP(AK31,'Rating Factors'!$AK:$AL,2,FALSE)="Decline",FALSE),
    IFERROR(VLOOKUP(AL31,'Rating Factors'!$AP:$AQ,2,FALSE)="Decline",FALSE)
  ),
  "Declined",
  SUM(
    W31,
    X31,
    Y31*
      IFERROR(VLOOKUP(AD31,'Rating Factors'!$BS:$BT,2,FALSE),1),
    Z31*
      IFERROR(VLOOKUP(AD31,'Rating Factors'!$BS:$BT,2,FALSE),1)*
      IFERROR(VLOOKUP(AC31,'Rating Factors'!$BV:$BW,2,FALSE),1),
  )
  * IFERROR(VLOOKUP(F31,'Rating Factors'!$A:$B,2,FALSE),1)
  * IFERROR(VLOOKUP(G31,'Rating Factors'!$C:$D,2,FALSE),1)
  * IFERROR(VLOOKUP(J31,'Rating Factors'!$F:$G,2,FALSE),1)
  * IFERROR(VLOOKUP(K31,'Rating Factors'!$H:$I,2,FALSE),1)
  * IFERROR(VLOOKUP(L31,'Rating Factors'!$J:$K,2,FALSE),1)
  * IFERROR(VLOOKUP(M31,'Rating Factors'!$L:$M,2,FALSE),1)
  * IFERROR(VLOOKUP(N31,'Rating Factors'!$N:$O,2,FALSE),1)
  * IFERROR(VLOOKUP(O31,'Rating Factors'!$P:$Q,2,FALSE),1)
  * IFERROR(VLOOKUP(P31,'Rating Factors'!$BO:$BP,2,FALSE),1)
  * IFERROR(VLOOKUP(Q31,'Rating Factors'!$BQ:$BR,2,FALSE),1)
  * IFERROR(VLOOKUP(R31,'Rating Factors'!$R:$S,2,FALSE),1)
  * IFERROR(VLOOKUP(S31,'Rating Factors'!$T:$U,2,FALSE),1)
  * IFERROR(VLOOKUP(T31,'Rating Factors'!$V:$W,2,FALSE),1)
  * IFERROR(VLOOKUP(U31,'Rating Factors'!$X:$Y,2,FALSE),1)
  * IFERROR(VLOOKUP(AI31,'Rating Factors'!$AB:$AC,2,FALSE),1)
  * IFERROR(VLOOKUP(AK31,'Rating Factors'!$AK:$AL,2,FALSE),1)
  * IFERROR(VLOOKUP(AL31,'Rating Factors'!$AP:$AQ,2,FALSE),1)
  * IFERROR(LOOKUP(SUM($W$8:$Z$127),'Rating Factors'!$BD:$BD,'Rating Factors'!$BE:$BE),1))</f>
        <v>0</v>
      </c>
      <c r="AY31" s="158">
        <f>IF(OR(AQ31="Declined", AN31&lt;&gt;"Y"),
   0,
   N(AT31)*N('Rating Factors'!$AG$2)/100
)</f>
        <v>0</v>
      </c>
      <c r="AZ31" s="158">
        <f t="shared" si="6"/>
        <v>0</v>
      </c>
      <c r="BA31" s="142">
        <f>_xlfn.LET(
  _xlpm.base_ok, AND(AQ31&lt;&gt;"Declined", N(AQ31)&gt;0),
  _xlpm.is_full, EXACT(AG31, "Full Limit"),
  _xlpm.total_tiv, SUM($AT$8:$AT$127),
  _xlpm.loc_tiv, N(BE31),
  _xlpm.full_rate, N('Rating Factors'!$AO$10),
  _xlpm.min_per_loc, N('Rating Factors'!$AN$10),
  _xlpm.n_locs, N(E28),
  _xlpm.sched_prem, MAX(_xlpm.total_tiv*_xlpm.full_rate, _xlpm.min_per_loc*_xlpm.n_locs),
  _xlpm.alloc_prem, IF(_xlpm.total_tiv=0, 0, _xlpm.sched_prem * _xlpm.loc_tiv / _xlpm.total_tiv),
  _xlpm.cap_prem, IFERROR(VLOOKUP(AG31, 'Rating Factors'!$AM:$AN, 2, FALSE), 0),
  IF(_xlpm.base_ok,
     IF(_xlpm.is_full, _xlpm.alloc_prem, _xlpm.cap_prem),
     0
  )
)</f>
        <v>0</v>
      </c>
      <c r="BB31" s="143">
        <f t="shared" si="0"/>
        <v>0</v>
      </c>
      <c r="BC31" s="144">
        <f t="shared" si="7"/>
        <v>0</v>
      </c>
      <c r="BD31" s="145">
        <f t="shared" si="8"/>
        <v>0</v>
      </c>
      <c r="BE31" s="115">
        <f t="shared" si="1"/>
        <v>0</v>
      </c>
      <c r="BF31" s="106" t="str">
        <f t="shared" si="9"/>
        <v/>
      </c>
      <c r="BG31"/>
      <c r="BI31" s="67" t="str" cm="1">
        <f t="array" ref="BI31">IF(E31="","",LEFT(_xlfn.REGEXEXTRACT(UPPER(E31),"[A-Z][0-9][A-Z][ -]?[0-9][A-Z][0-9]"),3))</f>
        <v/>
      </c>
      <c r="BJ31" s="66" t="str">
        <f>IF(E31="","",_xlfn.XLOOKUP(BI31, CrestaP!B:B, CrestaP!D:D, ""))</f>
        <v/>
      </c>
      <c r="BK31" s="66" t="str">
        <f>IFERROR(
  INDEX(
    CrestaP!H4:M9,
    MATCH(J31, {"Frame","Brick Veneer","Joisted Masonry","Non-Combustible","Masonry Non-Combustible","Fire resistive"}, 0),
    MATCH(TEXT(BJ31,"@"), {"16","E5","E4","E3","E2","E1"}, 0)
  ),
  ""
)</f>
        <v/>
      </c>
    </row>
    <row r="32" spans="2:63" hidden="1" x14ac:dyDescent="0.25">
      <c r="B32"/>
      <c r="C32" s="24">
        <f t="shared" si="10"/>
        <v>25</v>
      </c>
      <c r="D32" s="25" t="s">
        <v>30</v>
      </c>
      <c r="E32" s="175"/>
      <c r="F32" s="89"/>
      <c r="G32" s="89"/>
      <c r="H32" s="104"/>
      <c r="I32" s="104"/>
      <c r="J32" s="89"/>
      <c r="K32" s="89"/>
      <c r="L32" s="89"/>
      <c r="M32" s="89"/>
      <c r="N32" s="89"/>
      <c r="O32" s="89"/>
      <c r="P32" s="104"/>
      <c r="Q32" s="104"/>
      <c r="R32" s="89"/>
      <c r="S32" s="89"/>
      <c r="T32" s="89"/>
      <c r="U32" s="25"/>
      <c r="V32" s="119"/>
      <c r="W32" s="19"/>
      <c r="X32" s="104"/>
      <c r="Y32" s="104"/>
      <c r="Z32" s="104"/>
      <c r="AA32" s="19"/>
      <c r="AB32" s="160" t="str">
        <f>IF(OR(AA32="",G32=""),"",VLOOKUP(G32,'Rating Factors'!$C:$E,3,FALSE)*AA32)</f>
        <v/>
      </c>
      <c r="AC32" s="20"/>
      <c r="AD32" s="20"/>
      <c r="AE32" s="104"/>
      <c r="AF32" s="96"/>
      <c r="AG32" s="20"/>
      <c r="AH32" s="119"/>
      <c r="AI32" s="19"/>
      <c r="AJ32" s="19"/>
      <c r="AK32" s="19"/>
      <c r="AL32" s="96"/>
      <c r="AM32" s="119"/>
      <c r="AN32" s="19"/>
      <c r="AO32" s="20"/>
      <c r="AP32" s="119"/>
      <c r="AQ32" s="115">
        <f t="shared" si="2"/>
        <v>0</v>
      </c>
      <c r="AR32" s="171">
        <f>IF(OR(Z32="",N(Z32)=0),
IF(
N(H32)+N(I32)=0,
0,
MAX(
IFERROR(VLOOKUP(AE32,'Rating Factors'!$BJ:$BK,2,FALSE),0),
((N(H32)*'Rating Factors'!$BF$2)+(N(I32)*'Rating Factors'!$BG$2))
*IFERROR(VLOOKUP(AE32,'Rating Factors'!$Z:$AA,2,FALSE),1)
*IFERROR(VLOOKUP(AJ32,'Rating Factors'!$AD:$AE,2,FALSE),1)
*IFERROR(VLOOKUP(SUM($H$8:$H$127),'Rating Factors'!$BM:$BN,2),1)
*IFERROR(VLOOKUP(SUM($I$8:$I$127),'Rating Factors'!$BH:$BI,2),1)
)
),
MAX(IFERROR(VLOOKUP(AE32,'Rating Factors'!$BJ:$BL,3,FALSE),0),
((N(I32)*'Rating Factors'!$BG$2))
*IFERROR(VLOOKUP(AE32,'Rating Factors'!$Z:$AA,2,FALSE),1)
*IFERROR(VLOOKUP(AJ32,'Rating Factors'!$AD:$AE,2,FALSE),1)
*N(AA32)* IFERROR(VLOOKUP(G32,'Rating Factors'!$C:$D,2,FALSE),1)*0.0045
))</f>
        <v>0</v>
      </c>
      <c r="AS32" s="172">
        <f t="shared" si="3"/>
        <v>0</v>
      </c>
      <c r="AT32" s="115">
        <f t="shared" si="11"/>
        <v>0</v>
      </c>
      <c r="AU32" s="173" t="str">
        <f t="shared" si="4"/>
        <v/>
      </c>
      <c r="AV32" s="174" t="str">
        <f t="shared" si="5"/>
        <v/>
      </c>
      <c r="AW32" s="119"/>
      <c r="AX32" s="141">
        <f>IF(
  OR(
    IFERROR(VLOOKUP(F32,'Rating Factors'!$A:$B,2,FALSE)="Decline",FALSE),
    IFERROR(VLOOKUP(G32,'Rating Factors'!$C:$D,2,FALSE)="Decline",FALSE),
    IFERROR(VLOOKUP(J32,'Rating Factors'!$F:$G,2,FALSE)="Decline",FALSE),
    IFERROR(VLOOKUP(K32,'Rating Factors'!$H:$I,2,FALSE)="Decline",FALSE),
    IFERROR(VLOOKUP(L32,'Rating Factors'!$J:$K,2,FALSE)="Decline",FALSE),
    IFERROR(VLOOKUP(M32,'Rating Factors'!$L:$M,2,FALSE)="Decline",FALSE),
    IFERROR(VLOOKUP(N32,'Rating Factors'!$N:$O,2,FALSE)="Decline",FALSE),
    IFERROR(VLOOKUP(O32,'Rating Factors'!$P:$Q,2,FALSE)="Decline",FALSE),
    IFERROR(VLOOKUP(P32,'Rating Factors'!$BO:$BP,2,FALSE)="Decline",FALSE),
    IFERROR(VLOOKUP(Q32,'Rating Factors'!$BQ:$BR,2,FALSE)="Decline",FALSE),
    IFERROR(VLOOKUP(R32,'Rating Factors'!$R:$S,2,FALSE)="Decline",FALSE),
    IFERROR(VLOOKUP(S32,'Rating Factors'!$T:$U,2,FALSE)="Decline",FALSE),
    IFERROR(VLOOKUP(T32,'Rating Factors'!$V:$W,2,FALSE)="Decline",FALSE),
    IFERROR(VLOOKUP(U32,'Rating Factors'!$X:$Y,2,FALSE)="Decline",FALSE),
    IFERROR(VLOOKUP(AI32,'Rating Factors'!$AB:$AC,2,FALSE)="Decline",FALSE),
    IFERROR(VLOOKUP(AK32,'Rating Factors'!$AK:$AL,2,FALSE)="Decline",FALSE),
    IFERROR(VLOOKUP(AL32,'Rating Factors'!$AP:$AQ,2,FALSE)="Decline",FALSE)
  ),
  "Declined",
  SUM(
    W32,
    X32,
    Y32*
      IFERROR(VLOOKUP(AD32,'Rating Factors'!$BS:$BT,2,FALSE),1),
    Z32*
      IFERROR(VLOOKUP(AD32,'Rating Factors'!$BS:$BT,2,FALSE),1)*
      IFERROR(VLOOKUP(AC32,'Rating Factors'!$BV:$BW,2,FALSE),1),
  )
  * IFERROR(VLOOKUP(F32,'Rating Factors'!$A:$B,2,FALSE),1)
  * IFERROR(VLOOKUP(G32,'Rating Factors'!$C:$D,2,FALSE),1)
  * IFERROR(VLOOKUP(J32,'Rating Factors'!$F:$G,2,FALSE),1)
  * IFERROR(VLOOKUP(K32,'Rating Factors'!$H:$I,2,FALSE),1)
  * IFERROR(VLOOKUP(L32,'Rating Factors'!$J:$K,2,FALSE),1)
  * IFERROR(VLOOKUP(M32,'Rating Factors'!$L:$M,2,FALSE),1)
  * IFERROR(VLOOKUP(N32,'Rating Factors'!$N:$O,2,FALSE),1)
  * IFERROR(VLOOKUP(O32,'Rating Factors'!$P:$Q,2,FALSE),1)
  * IFERROR(VLOOKUP(P32,'Rating Factors'!$BO:$BP,2,FALSE),1)
  * IFERROR(VLOOKUP(Q32,'Rating Factors'!$BQ:$BR,2,FALSE),1)
  * IFERROR(VLOOKUP(R32,'Rating Factors'!$R:$S,2,FALSE),1)
  * IFERROR(VLOOKUP(S32,'Rating Factors'!$T:$U,2,FALSE),1)
  * IFERROR(VLOOKUP(T32,'Rating Factors'!$V:$W,2,FALSE),1)
  * IFERROR(VLOOKUP(U32,'Rating Factors'!$X:$Y,2,FALSE),1)
  * IFERROR(VLOOKUP(AI32,'Rating Factors'!$AB:$AC,2,FALSE),1)
  * IFERROR(VLOOKUP(AK32,'Rating Factors'!$AK:$AL,2,FALSE),1)
  * IFERROR(VLOOKUP(AL32,'Rating Factors'!$AP:$AQ,2,FALSE),1)
  * IFERROR(LOOKUP(SUM($W$8:$Z$127),'Rating Factors'!$BD:$BD,'Rating Factors'!$BE:$BE),1))</f>
        <v>0</v>
      </c>
      <c r="AY32" s="158">
        <f>IF(OR(AQ32="Declined", AN32&lt;&gt;"Y"),
   0,
   N(AT32)*N('Rating Factors'!$AG$2)/100
)</f>
        <v>0</v>
      </c>
      <c r="AZ32" s="158">
        <f t="shared" si="6"/>
        <v>0</v>
      </c>
      <c r="BA32" s="142">
        <f>_xlfn.LET(
  _xlpm.base_ok, AND(AQ32&lt;&gt;"Declined", N(AQ32)&gt;0),
  _xlpm.is_full, EXACT(AG32, "Full Limit"),
  _xlpm.total_tiv, SUM($AT$8:$AT$127),
  _xlpm.loc_tiv, N(BE32),
  _xlpm.full_rate, N('Rating Factors'!$AO$10),
  _xlpm.min_per_loc, N('Rating Factors'!$AN$10),
  _xlpm.n_locs, N(E29),
  _xlpm.sched_prem, MAX(_xlpm.total_tiv*_xlpm.full_rate, _xlpm.min_per_loc*_xlpm.n_locs),
  _xlpm.alloc_prem, IF(_xlpm.total_tiv=0, 0, _xlpm.sched_prem * _xlpm.loc_tiv / _xlpm.total_tiv),
  _xlpm.cap_prem, IFERROR(VLOOKUP(AG32, 'Rating Factors'!$AM:$AN, 2, FALSE), 0),
  IF(_xlpm.base_ok,
     IF(_xlpm.is_full, _xlpm.alloc_prem, _xlpm.cap_prem),
     0
  )
)</f>
        <v>0</v>
      </c>
      <c r="BB32" s="143">
        <f t="shared" si="0"/>
        <v>0</v>
      </c>
      <c r="BC32" s="144">
        <f t="shared" si="7"/>
        <v>0</v>
      </c>
      <c r="BD32" s="145">
        <f t="shared" si="8"/>
        <v>0</v>
      </c>
      <c r="BE32" s="115">
        <f t="shared" si="1"/>
        <v>0</v>
      </c>
      <c r="BF32" s="106" t="str">
        <f t="shared" si="9"/>
        <v/>
      </c>
      <c r="BG32"/>
      <c r="BI32" s="67" t="str" cm="1">
        <f t="array" ref="BI32">IF(E32="","",LEFT(_xlfn.REGEXEXTRACT(UPPER(E32),"[A-Z][0-9][A-Z][ -]?[0-9][A-Z][0-9]"),3))</f>
        <v/>
      </c>
      <c r="BJ32" s="66" t="str">
        <f>IF(E32="","",_xlfn.XLOOKUP(BI32, CrestaP!B:B, CrestaP!D:D, ""))</f>
        <v/>
      </c>
      <c r="BK32" s="66" t="str">
        <f>IFERROR(
  INDEX(
    CrestaP!H4:M9,
    MATCH(J32, {"Frame","Brick Veneer","Joisted Masonry","Non-Combustible","Masonry Non-Combustible","Fire resistive"}, 0),
    MATCH(TEXT(BJ32,"@"), {"16","E5","E4","E3","E2","E1"}, 0)
  ),
  ""
)</f>
        <v/>
      </c>
    </row>
    <row r="33" spans="2:63" hidden="1" x14ac:dyDescent="0.25">
      <c r="B33"/>
      <c r="C33" s="24">
        <f t="shared" si="10"/>
        <v>26</v>
      </c>
      <c r="D33" s="25" t="s">
        <v>30</v>
      </c>
      <c r="E33" s="175"/>
      <c r="F33" s="89"/>
      <c r="G33" s="89"/>
      <c r="H33" s="104"/>
      <c r="I33" s="104"/>
      <c r="J33" s="89"/>
      <c r="K33" s="89"/>
      <c r="L33" s="89"/>
      <c r="M33" s="89"/>
      <c r="N33" s="89"/>
      <c r="O33" s="89"/>
      <c r="P33" s="104"/>
      <c r="Q33" s="104"/>
      <c r="R33" s="89"/>
      <c r="S33" s="89"/>
      <c r="T33" s="89"/>
      <c r="U33" s="25"/>
      <c r="V33" s="119"/>
      <c r="W33" s="19"/>
      <c r="X33" s="104"/>
      <c r="Y33" s="104"/>
      <c r="Z33" s="104"/>
      <c r="AA33" s="19"/>
      <c r="AB33" s="160" t="str">
        <f>IF(OR(AA33="",G33=""),"",VLOOKUP(G33,'Rating Factors'!$C:$E,3,FALSE)*AA33)</f>
        <v/>
      </c>
      <c r="AC33" s="20"/>
      <c r="AD33" s="20"/>
      <c r="AE33" s="104"/>
      <c r="AF33" s="96"/>
      <c r="AG33" s="20"/>
      <c r="AH33" s="119"/>
      <c r="AI33" s="19"/>
      <c r="AJ33" s="19"/>
      <c r="AK33" s="19"/>
      <c r="AL33" s="96"/>
      <c r="AM33" s="119"/>
      <c r="AN33" s="19"/>
      <c r="AO33" s="20"/>
      <c r="AP33" s="119"/>
      <c r="AQ33" s="115">
        <f t="shared" si="2"/>
        <v>0</v>
      </c>
      <c r="AR33" s="171">
        <f>IF(OR(Z33="",N(Z33)=0),
IF(
N(H33)+N(I33)=0,
0,
MAX(
IFERROR(VLOOKUP(AE33,'Rating Factors'!$BJ:$BK,2,FALSE),0),
((N(H33)*'Rating Factors'!$BF$2)+(N(I33)*'Rating Factors'!$BG$2))
*IFERROR(VLOOKUP(AE33,'Rating Factors'!$Z:$AA,2,FALSE),1)
*IFERROR(VLOOKUP(AJ33,'Rating Factors'!$AD:$AE,2,FALSE),1)
*IFERROR(VLOOKUP(SUM($H$8:$H$127),'Rating Factors'!$BM:$BN,2),1)
*IFERROR(VLOOKUP(SUM($I$8:$I$127),'Rating Factors'!$BH:$BI,2),1)
)
),
MAX(IFERROR(VLOOKUP(AE33,'Rating Factors'!$BJ:$BL,3,FALSE),0),
((N(I33)*'Rating Factors'!$BG$2))
*IFERROR(VLOOKUP(AE33,'Rating Factors'!$Z:$AA,2,FALSE),1)
*IFERROR(VLOOKUP(AJ33,'Rating Factors'!$AD:$AE,2,FALSE),1)
*N(AA33)* IFERROR(VLOOKUP(G33,'Rating Factors'!$C:$D,2,FALSE),1)*0.0045
))</f>
        <v>0</v>
      </c>
      <c r="AS33" s="172">
        <f t="shared" si="3"/>
        <v>0</v>
      </c>
      <c r="AT33" s="115">
        <f t="shared" si="11"/>
        <v>0</v>
      </c>
      <c r="AU33" s="173" t="str">
        <f t="shared" si="4"/>
        <v/>
      </c>
      <c r="AV33" s="174" t="str">
        <f t="shared" si="5"/>
        <v/>
      </c>
      <c r="AW33" s="119"/>
      <c r="AX33" s="141">
        <f>IF(
  OR(
    IFERROR(VLOOKUP(F33,'Rating Factors'!$A:$B,2,FALSE)="Decline",FALSE),
    IFERROR(VLOOKUP(G33,'Rating Factors'!$C:$D,2,FALSE)="Decline",FALSE),
    IFERROR(VLOOKUP(J33,'Rating Factors'!$F:$G,2,FALSE)="Decline",FALSE),
    IFERROR(VLOOKUP(K33,'Rating Factors'!$H:$I,2,FALSE)="Decline",FALSE),
    IFERROR(VLOOKUP(L33,'Rating Factors'!$J:$K,2,FALSE)="Decline",FALSE),
    IFERROR(VLOOKUP(M33,'Rating Factors'!$L:$M,2,FALSE)="Decline",FALSE),
    IFERROR(VLOOKUP(N33,'Rating Factors'!$N:$O,2,FALSE)="Decline",FALSE),
    IFERROR(VLOOKUP(O33,'Rating Factors'!$P:$Q,2,FALSE)="Decline",FALSE),
    IFERROR(VLOOKUP(P33,'Rating Factors'!$BO:$BP,2,FALSE)="Decline",FALSE),
    IFERROR(VLOOKUP(Q33,'Rating Factors'!$BQ:$BR,2,FALSE)="Decline",FALSE),
    IFERROR(VLOOKUP(R33,'Rating Factors'!$R:$S,2,FALSE)="Decline",FALSE),
    IFERROR(VLOOKUP(S33,'Rating Factors'!$T:$U,2,FALSE)="Decline",FALSE),
    IFERROR(VLOOKUP(T33,'Rating Factors'!$V:$W,2,FALSE)="Decline",FALSE),
    IFERROR(VLOOKUP(U33,'Rating Factors'!$X:$Y,2,FALSE)="Decline",FALSE),
    IFERROR(VLOOKUP(AI33,'Rating Factors'!$AB:$AC,2,FALSE)="Decline",FALSE),
    IFERROR(VLOOKUP(AK33,'Rating Factors'!$AK:$AL,2,FALSE)="Decline",FALSE),
    IFERROR(VLOOKUP(AL33,'Rating Factors'!$AP:$AQ,2,FALSE)="Decline",FALSE)
  ),
  "Declined",
  SUM(
    W33,
    X33,
    Y33*
      IFERROR(VLOOKUP(AD33,'Rating Factors'!$BS:$BT,2,FALSE),1),
    Z33*
      IFERROR(VLOOKUP(AD33,'Rating Factors'!$BS:$BT,2,FALSE),1)*
      IFERROR(VLOOKUP(AC33,'Rating Factors'!$BV:$BW,2,FALSE),1),
  )
  * IFERROR(VLOOKUP(F33,'Rating Factors'!$A:$B,2,FALSE),1)
  * IFERROR(VLOOKUP(G33,'Rating Factors'!$C:$D,2,FALSE),1)
  * IFERROR(VLOOKUP(J33,'Rating Factors'!$F:$G,2,FALSE),1)
  * IFERROR(VLOOKUP(K33,'Rating Factors'!$H:$I,2,FALSE),1)
  * IFERROR(VLOOKUP(L33,'Rating Factors'!$J:$K,2,FALSE),1)
  * IFERROR(VLOOKUP(M33,'Rating Factors'!$L:$M,2,FALSE),1)
  * IFERROR(VLOOKUP(N33,'Rating Factors'!$N:$O,2,FALSE),1)
  * IFERROR(VLOOKUP(O33,'Rating Factors'!$P:$Q,2,FALSE),1)
  * IFERROR(VLOOKUP(P33,'Rating Factors'!$BO:$BP,2,FALSE),1)
  * IFERROR(VLOOKUP(Q33,'Rating Factors'!$BQ:$BR,2,FALSE),1)
  * IFERROR(VLOOKUP(R33,'Rating Factors'!$R:$S,2,FALSE),1)
  * IFERROR(VLOOKUP(S33,'Rating Factors'!$T:$U,2,FALSE),1)
  * IFERROR(VLOOKUP(T33,'Rating Factors'!$V:$W,2,FALSE),1)
  * IFERROR(VLOOKUP(U33,'Rating Factors'!$X:$Y,2,FALSE),1)
  * IFERROR(VLOOKUP(AI33,'Rating Factors'!$AB:$AC,2,FALSE),1)
  * IFERROR(VLOOKUP(AK33,'Rating Factors'!$AK:$AL,2,FALSE),1)
  * IFERROR(VLOOKUP(AL33,'Rating Factors'!$AP:$AQ,2,FALSE),1)
  * IFERROR(LOOKUP(SUM($W$8:$Z$127),'Rating Factors'!$BD:$BD,'Rating Factors'!$BE:$BE),1))</f>
        <v>0</v>
      </c>
      <c r="AY33" s="158">
        <f>IF(OR(AQ33="Declined", AN33&lt;&gt;"Y"),
   0,
   N(AT33)*N('Rating Factors'!$AG$2)/100
)</f>
        <v>0</v>
      </c>
      <c r="AZ33" s="158">
        <f t="shared" si="6"/>
        <v>0</v>
      </c>
      <c r="BA33" s="142">
        <f>_xlfn.LET(
  _xlpm.base_ok, AND(AQ33&lt;&gt;"Declined", N(AQ33)&gt;0),
  _xlpm.is_full, EXACT(AG33, "Full Limit"),
  _xlpm.total_tiv, SUM($AT$8:$AT$127),
  _xlpm.loc_tiv, N(BE33),
  _xlpm.full_rate, N('Rating Factors'!$AO$10),
  _xlpm.min_per_loc, N('Rating Factors'!$AN$10),
  _xlpm.n_locs, N(E30),
  _xlpm.sched_prem, MAX(_xlpm.total_tiv*_xlpm.full_rate, _xlpm.min_per_loc*_xlpm.n_locs),
  _xlpm.alloc_prem, IF(_xlpm.total_tiv=0, 0, _xlpm.sched_prem * _xlpm.loc_tiv / _xlpm.total_tiv),
  _xlpm.cap_prem, IFERROR(VLOOKUP(AG33, 'Rating Factors'!$AM:$AN, 2, FALSE), 0),
  IF(_xlpm.base_ok,
     IF(_xlpm.is_full, _xlpm.alloc_prem, _xlpm.cap_prem),
     0
  )
)</f>
        <v>0</v>
      </c>
      <c r="BB33" s="143">
        <f t="shared" si="0"/>
        <v>0</v>
      </c>
      <c r="BC33" s="144">
        <f t="shared" si="7"/>
        <v>0</v>
      </c>
      <c r="BD33" s="145">
        <f t="shared" si="8"/>
        <v>0</v>
      </c>
      <c r="BE33" s="115">
        <f t="shared" si="1"/>
        <v>0</v>
      </c>
      <c r="BF33" s="106" t="str">
        <f t="shared" si="9"/>
        <v/>
      </c>
      <c r="BG33"/>
      <c r="BI33" s="67" t="str" cm="1">
        <f t="array" ref="BI33">IF(E33="","",LEFT(_xlfn.REGEXEXTRACT(UPPER(E33),"[A-Z][0-9][A-Z][ -]?[0-9][A-Z][0-9]"),3))</f>
        <v/>
      </c>
      <c r="BJ33" s="66" t="str">
        <f>IF(E33="","",_xlfn.XLOOKUP(BI33, CrestaP!B:B, CrestaP!D:D, ""))</f>
        <v/>
      </c>
      <c r="BK33" s="66" t="str">
        <f>IFERROR(
  INDEX(
    CrestaP!H4:M9,
    MATCH(J33, {"Frame","Brick Veneer","Joisted Masonry","Non-Combustible","Masonry Non-Combustible","Fire resistive"}, 0),
    MATCH(TEXT(BJ33,"@"), {"16","E5","E4","E3","E2","E1"}, 0)
  ),
  ""
)</f>
        <v/>
      </c>
    </row>
    <row r="34" spans="2:63" hidden="1" x14ac:dyDescent="0.25">
      <c r="B34"/>
      <c r="C34" s="24">
        <f t="shared" si="10"/>
        <v>27</v>
      </c>
      <c r="D34" s="25" t="s">
        <v>30</v>
      </c>
      <c r="E34" s="175"/>
      <c r="F34" s="89"/>
      <c r="G34" s="89"/>
      <c r="H34" s="104"/>
      <c r="I34" s="104"/>
      <c r="J34" s="89"/>
      <c r="K34" s="89"/>
      <c r="L34" s="89"/>
      <c r="M34" s="89"/>
      <c r="N34" s="89"/>
      <c r="O34" s="89"/>
      <c r="P34" s="104"/>
      <c r="Q34" s="104"/>
      <c r="R34" s="89"/>
      <c r="S34" s="89"/>
      <c r="T34" s="89"/>
      <c r="U34" s="25"/>
      <c r="V34" s="119"/>
      <c r="W34" s="19"/>
      <c r="X34" s="104"/>
      <c r="Y34" s="104"/>
      <c r="Z34" s="104"/>
      <c r="AA34" s="19"/>
      <c r="AB34" s="160" t="str">
        <f>IF(OR(AA34="",G34=""),"",VLOOKUP(G34,'Rating Factors'!$C:$E,3,FALSE)*AA34)</f>
        <v/>
      </c>
      <c r="AC34" s="20"/>
      <c r="AD34" s="20"/>
      <c r="AE34" s="104"/>
      <c r="AF34" s="96"/>
      <c r="AG34" s="20"/>
      <c r="AH34" s="119"/>
      <c r="AI34" s="19"/>
      <c r="AJ34" s="19"/>
      <c r="AK34" s="19"/>
      <c r="AL34" s="96"/>
      <c r="AM34" s="119"/>
      <c r="AN34" s="19"/>
      <c r="AO34" s="20"/>
      <c r="AP34" s="119"/>
      <c r="AQ34" s="115">
        <f t="shared" si="2"/>
        <v>0</v>
      </c>
      <c r="AR34" s="171">
        <f>IF(OR(Z34="",N(Z34)=0),
IF(
N(H34)+N(I34)=0,
0,
MAX(
IFERROR(VLOOKUP(AE34,'Rating Factors'!$BJ:$BK,2,FALSE),0),
((N(H34)*'Rating Factors'!$BF$2)+(N(I34)*'Rating Factors'!$BG$2))
*IFERROR(VLOOKUP(AE34,'Rating Factors'!$Z:$AA,2,FALSE),1)
*IFERROR(VLOOKUP(AJ34,'Rating Factors'!$AD:$AE,2,FALSE),1)
*IFERROR(VLOOKUP(SUM($H$8:$H$127),'Rating Factors'!$BM:$BN,2),1)
*IFERROR(VLOOKUP(SUM($I$8:$I$127),'Rating Factors'!$BH:$BI,2),1)
)
),
MAX(IFERROR(VLOOKUP(AE34,'Rating Factors'!$BJ:$BL,3,FALSE),0),
((N(I34)*'Rating Factors'!$BG$2))
*IFERROR(VLOOKUP(AE34,'Rating Factors'!$Z:$AA,2,FALSE),1)
*IFERROR(VLOOKUP(AJ34,'Rating Factors'!$AD:$AE,2,FALSE),1)
*N(AA34)* IFERROR(VLOOKUP(G34,'Rating Factors'!$C:$D,2,FALSE),1)*0.0045
))</f>
        <v>0</v>
      </c>
      <c r="AS34" s="172">
        <f t="shared" si="3"/>
        <v>0</v>
      </c>
      <c r="AT34" s="115">
        <f t="shared" si="11"/>
        <v>0</v>
      </c>
      <c r="AU34" s="173" t="str">
        <f t="shared" si="4"/>
        <v/>
      </c>
      <c r="AV34" s="174" t="str">
        <f t="shared" si="5"/>
        <v/>
      </c>
      <c r="AW34" s="119"/>
      <c r="AX34" s="141">
        <f>IF(
  OR(
    IFERROR(VLOOKUP(F34,'Rating Factors'!$A:$B,2,FALSE)="Decline",FALSE),
    IFERROR(VLOOKUP(G34,'Rating Factors'!$C:$D,2,FALSE)="Decline",FALSE),
    IFERROR(VLOOKUP(J34,'Rating Factors'!$F:$G,2,FALSE)="Decline",FALSE),
    IFERROR(VLOOKUP(K34,'Rating Factors'!$H:$I,2,FALSE)="Decline",FALSE),
    IFERROR(VLOOKUP(L34,'Rating Factors'!$J:$K,2,FALSE)="Decline",FALSE),
    IFERROR(VLOOKUP(M34,'Rating Factors'!$L:$M,2,FALSE)="Decline",FALSE),
    IFERROR(VLOOKUP(N34,'Rating Factors'!$N:$O,2,FALSE)="Decline",FALSE),
    IFERROR(VLOOKUP(O34,'Rating Factors'!$P:$Q,2,FALSE)="Decline",FALSE),
    IFERROR(VLOOKUP(P34,'Rating Factors'!$BO:$BP,2,FALSE)="Decline",FALSE),
    IFERROR(VLOOKUP(Q34,'Rating Factors'!$BQ:$BR,2,FALSE)="Decline",FALSE),
    IFERROR(VLOOKUP(R34,'Rating Factors'!$R:$S,2,FALSE)="Decline",FALSE),
    IFERROR(VLOOKUP(S34,'Rating Factors'!$T:$U,2,FALSE)="Decline",FALSE),
    IFERROR(VLOOKUP(T34,'Rating Factors'!$V:$W,2,FALSE)="Decline",FALSE),
    IFERROR(VLOOKUP(U34,'Rating Factors'!$X:$Y,2,FALSE)="Decline",FALSE),
    IFERROR(VLOOKUP(AI34,'Rating Factors'!$AB:$AC,2,FALSE)="Decline",FALSE),
    IFERROR(VLOOKUP(AK34,'Rating Factors'!$AK:$AL,2,FALSE)="Decline",FALSE),
    IFERROR(VLOOKUP(AL34,'Rating Factors'!$AP:$AQ,2,FALSE)="Decline",FALSE)
  ),
  "Declined",
  SUM(
    W34,
    X34,
    Y34*
      IFERROR(VLOOKUP(AD34,'Rating Factors'!$BS:$BT,2,FALSE),1),
    Z34*
      IFERROR(VLOOKUP(AD34,'Rating Factors'!$BS:$BT,2,FALSE),1)*
      IFERROR(VLOOKUP(AC34,'Rating Factors'!$BV:$BW,2,FALSE),1),
  )
  * IFERROR(VLOOKUP(F34,'Rating Factors'!$A:$B,2,FALSE),1)
  * IFERROR(VLOOKUP(G34,'Rating Factors'!$C:$D,2,FALSE),1)
  * IFERROR(VLOOKUP(J34,'Rating Factors'!$F:$G,2,FALSE),1)
  * IFERROR(VLOOKUP(K34,'Rating Factors'!$H:$I,2,FALSE),1)
  * IFERROR(VLOOKUP(L34,'Rating Factors'!$J:$K,2,FALSE),1)
  * IFERROR(VLOOKUP(M34,'Rating Factors'!$L:$M,2,FALSE),1)
  * IFERROR(VLOOKUP(N34,'Rating Factors'!$N:$O,2,FALSE),1)
  * IFERROR(VLOOKUP(O34,'Rating Factors'!$P:$Q,2,FALSE),1)
  * IFERROR(VLOOKUP(P34,'Rating Factors'!$BO:$BP,2,FALSE),1)
  * IFERROR(VLOOKUP(Q34,'Rating Factors'!$BQ:$BR,2,FALSE),1)
  * IFERROR(VLOOKUP(R34,'Rating Factors'!$R:$S,2,FALSE),1)
  * IFERROR(VLOOKUP(S34,'Rating Factors'!$T:$U,2,FALSE),1)
  * IFERROR(VLOOKUP(T34,'Rating Factors'!$V:$W,2,FALSE),1)
  * IFERROR(VLOOKUP(U34,'Rating Factors'!$X:$Y,2,FALSE),1)
  * IFERROR(VLOOKUP(AI34,'Rating Factors'!$AB:$AC,2,FALSE),1)
  * IFERROR(VLOOKUP(AK34,'Rating Factors'!$AK:$AL,2,FALSE),1)
  * IFERROR(VLOOKUP(AL34,'Rating Factors'!$AP:$AQ,2,FALSE),1)
  * IFERROR(LOOKUP(SUM($W$8:$Z$127),'Rating Factors'!$BD:$BD,'Rating Factors'!$BE:$BE),1))</f>
        <v>0</v>
      </c>
      <c r="AY34" s="158">
        <f>IF(OR(AQ34="Declined", AN34&lt;&gt;"Y"),
   0,
   N(AT34)*N('Rating Factors'!$AG$2)/100
)</f>
        <v>0</v>
      </c>
      <c r="AZ34" s="158">
        <f t="shared" si="6"/>
        <v>0</v>
      </c>
      <c r="BA34" s="142">
        <f>_xlfn.LET(
  _xlpm.base_ok, AND(AQ34&lt;&gt;"Declined", N(AQ34)&gt;0),
  _xlpm.is_full, EXACT(AG34, "Full Limit"),
  _xlpm.total_tiv, SUM($AT$8:$AT$127),
  _xlpm.loc_tiv, N(BE34),
  _xlpm.full_rate, N('Rating Factors'!$AO$10),
  _xlpm.min_per_loc, N('Rating Factors'!$AN$10),
  _xlpm.n_locs, N(E31),
  _xlpm.sched_prem, MAX(_xlpm.total_tiv*_xlpm.full_rate, _xlpm.min_per_loc*_xlpm.n_locs),
  _xlpm.alloc_prem, IF(_xlpm.total_tiv=0, 0, _xlpm.sched_prem * _xlpm.loc_tiv / _xlpm.total_tiv),
  _xlpm.cap_prem, IFERROR(VLOOKUP(AG34, 'Rating Factors'!$AM:$AN, 2, FALSE), 0),
  IF(_xlpm.base_ok,
     IF(_xlpm.is_full, _xlpm.alloc_prem, _xlpm.cap_prem),
     0
  )
)</f>
        <v>0</v>
      </c>
      <c r="BB34" s="143">
        <f t="shared" si="0"/>
        <v>0</v>
      </c>
      <c r="BC34" s="144">
        <f t="shared" si="7"/>
        <v>0</v>
      </c>
      <c r="BD34" s="145">
        <f t="shared" si="8"/>
        <v>0</v>
      </c>
      <c r="BE34" s="115">
        <f t="shared" si="1"/>
        <v>0</v>
      </c>
      <c r="BF34" s="106" t="str">
        <f t="shared" si="9"/>
        <v/>
      </c>
      <c r="BG34"/>
      <c r="BI34" s="67" t="str" cm="1">
        <f t="array" ref="BI34">IF(E34="","",LEFT(_xlfn.REGEXEXTRACT(UPPER(E34),"[A-Z][0-9][A-Z][ -]?[0-9][A-Z][0-9]"),3))</f>
        <v/>
      </c>
      <c r="BJ34" s="66" t="str">
        <f>IF(E34="","",_xlfn.XLOOKUP(BI34, CrestaP!B:B, CrestaP!D:D, ""))</f>
        <v/>
      </c>
      <c r="BK34" s="66" t="str">
        <f>IFERROR(
  INDEX(
    CrestaP!H4:M9,
    MATCH(J34, {"Frame","Brick Veneer","Joisted Masonry","Non-Combustible","Masonry Non-Combustible","Fire resistive"}, 0),
    MATCH(TEXT(BJ34,"@"), {"16","E5","E4","E3","E2","E1"}, 0)
  ),
  ""
)</f>
        <v/>
      </c>
    </row>
    <row r="35" spans="2:63" hidden="1" x14ac:dyDescent="0.25">
      <c r="B35"/>
      <c r="C35" s="24">
        <f t="shared" si="10"/>
        <v>28</v>
      </c>
      <c r="D35" s="25" t="s">
        <v>30</v>
      </c>
      <c r="E35" s="175"/>
      <c r="F35" s="89"/>
      <c r="G35" s="89"/>
      <c r="H35" s="104"/>
      <c r="I35" s="104"/>
      <c r="J35" s="89"/>
      <c r="K35" s="89"/>
      <c r="L35" s="89"/>
      <c r="M35" s="89"/>
      <c r="N35" s="89"/>
      <c r="O35" s="89"/>
      <c r="P35" s="104"/>
      <c r="Q35" s="104"/>
      <c r="R35" s="89"/>
      <c r="S35" s="89"/>
      <c r="T35" s="89"/>
      <c r="U35" s="25"/>
      <c r="V35" s="119"/>
      <c r="W35" s="19"/>
      <c r="X35" s="104"/>
      <c r="Y35" s="104"/>
      <c r="Z35" s="104"/>
      <c r="AA35" s="19"/>
      <c r="AB35" s="160" t="str">
        <f>IF(OR(AA35="",G35=""),"",VLOOKUP(G35,'Rating Factors'!$C:$E,3,FALSE)*AA35)</f>
        <v/>
      </c>
      <c r="AC35" s="20"/>
      <c r="AD35" s="20"/>
      <c r="AE35" s="104"/>
      <c r="AF35" s="96"/>
      <c r="AG35" s="20"/>
      <c r="AH35" s="119"/>
      <c r="AI35" s="19"/>
      <c r="AJ35" s="19"/>
      <c r="AK35" s="19"/>
      <c r="AL35" s="96"/>
      <c r="AM35" s="119"/>
      <c r="AN35" s="19"/>
      <c r="AO35" s="20"/>
      <c r="AP35" s="119"/>
      <c r="AQ35" s="115">
        <f t="shared" si="2"/>
        <v>0</v>
      </c>
      <c r="AR35" s="171">
        <f>IF(OR(Z35="",N(Z35)=0),
IF(
N(H35)+N(I35)=0,
0,
MAX(
IFERROR(VLOOKUP(AE35,'Rating Factors'!$BJ:$BK,2,FALSE),0),
((N(H35)*'Rating Factors'!$BF$2)+(N(I35)*'Rating Factors'!$BG$2))
*IFERROR(VLOOKUP(AE35,'Rating Factors'!$Z:$AA,2,FALSE),1)
*IFERROR(VLOOKUP(AJ35,'Rating Factors'!$AD:$AE,2,FALSE),1)
*IFERROR(VLOOKUP(SUM($H$8:$H$127),'Rating Factors'!$BM:$BN,2),1)
*IFERROR(VLOOKUP(SUM($I$8:$I$127),'Rating Factors'!$BH:$BI,2),1)
)
),
MAX(IFERROR(VLOOKUP(AE35,'Rating Factors'!$BJ:$BL,3,FALSE),0),
((N(I35)*'Rating Factors'!$BG$2))
*IFERROR(VLOOKUP(AE35,'Rating Factors'!$Z:$AA,2,FALSE),1)
*IFERROR(VLOOKUP(AJ35,'Rating Factors'!$AD:$AE,2,FALSE),1)
*N(AA35)* IFERROR(VLOOKUP(G35,'Rating Factors'!$C:$D,2,FALSE),1)*0.0045
))</f>
        <v>0</v>
      </c>
      <c r="AS35" s="172">
        <f t="shared" si="3"/>
        <v>0</v>
      </c>
      <c r="AT35" s="115">
        <f t="shared" si="11"/>
        <v>0</v>
      </c>
      <c r="AU35" s="173" t="str">
        <f t="shared" si="4"/>
        <v/>
      </c>
      <c r="AV35" s="174" t="str">
        <f t="shared" si="5"/>
        <v/>
      </c>
      <c r="AW35" s="119"/>
      <c r="AX35" s="141">
        <f>IF(
  OR(
    IFERROR(VLOOKUP(F35,'Rating Factors'!$A:$B,2,FALSE)="Decline",FALSE),
    IFERROR(VLOOKUP(G35,'Rating Factors'!$C:$D,2,FALSE)="Decline",FALSE),
    IFERROR(VLOOKUP(J35,'Rating Factors'!$F:$G,2,FALSE)="Decline",FALSE),
    IFERROR(VLOOKUP(K35,'Rating Factors'!$H:$I,2,FALSE)="Decline",FALSE),
    IFERROR(VLOOKUP(L35,'Rating Factors'!$J:$K,2,FALSE)="Decline",FALSE),
    IFERROR(VLOOKUP(M35,'Rating Factors'!$L:$M,2,FALSE)="Decline",FALSE),
    IFERROR(VLOOKUP(N35,'Rating Factors'!$N:$O,2,FALSE)="Decline",FALSE),
    IFERROR(VLOOKUP(O35,'Rating Factors'!$P:$Q,2,FALSE)="Decline",FALSE),
    IFERROR(VLOOKUP(P35,'Rating Factors'!$BO:$BP,2,FALSE)="Decline",FALSE),
    IFERROR(VLOOKUP(Q35,'Rating Factors'!$BQ:$BR,2,FALSE)="Decline",FALSE),
    IFERROR(VLOOKUP(R35,'Rating Factors'!$R:$S,2,FALSE)="Decline",FALSE),
    IFERROR(VLOOKUP(S35,'Rating Factors'!$T:$U,2,FALSE)="Decline",FALSE),
    IFERROR(VLOOKUP(T35,'Rating Factors'!$V:$W,2,FALSE)="Decline",FALSE),
    IFERROR(VLOOKUP(U35,'Rating Factors'!$X:$Y,2,FALSE)="Decline",FALSE),
    IFERROR(VLOOKUP(AI35,'Rating Factors'!$AB:$AC,2,FALSE)="Decline",FALSE),
    IFERROR(VLOOKUP(AK35,'Rating Factors'!$AK:$AL,2,FALSE)="Decline",FALSE),
    IFERROR(VLOOKUP(AL35,'Rating Factors'!$AP:$AQ,2,FALSE)="Decline",FALSE)
  ),
  "Declined",
  SUM(
    W35,
    X35,
    Y35*
      IFERROR(VLOOKUP(AD35,'Rating Factors'!$BS:$BT,2,FALSE),1),
    Z35*
      IFERROR(VLOOKUP(AD35,'Rating Factors'!$BS:$BT,2,FALSE),1)*
      IFERROR(VLOOKUP(AC35,'Rating Factors'!$BV:$BW,2,FALSE),1),
  )
  * IFERROR(VLOOKUP(F35,'Rating Factors'!$A:$B,2,FALSE),1)
  * IFERROR(VLOOKUP(G35,'Rating Factors'!$C:$D,2,FALSE),1)
  * IFERROR(VLOOKUP(J35,'Rating Factors'!$F:$G,2,FALSE),1)
  * IFERROR(VLOOKUP(K35,'Rating Factors'!$H:$I,2,FALSE),1)
  * IFERROR(VLOOKUP(L35,'Rating Factors'!$J:$K,2,FALSE),1)
  * IFERROR(VLOOKUP(M35,'Rating Factors'!$L:$M,2,FALSE),1)
  * IFERROR(VLOOKUP(N35,'Rating Factors'!$N:$O,2,FALSE),1)
  * IFERROR(VLOOKUP(O35,'Rating Factors'!$P:$Q,2,FALSE),1)
  * IFERROR(VLOOKUP(P35,'Rating Factors'!$BO:$BP,2,FALSE),1)
  * IFERROR(VLOOKUP(Q35,'Rating Factors'!$BQ:$BR,2,FALSE),1)
  * IFERROR(VLOOKUP(R35,'Rating Factors'!$R:$S,2,FALSE),1)
  * IFERROR(VLOOKUP(S35,'Rating Factors'!$T:$U,2,FALSE),1)
  * IFERROR(VLOOKUP(T35,'Rating Factors'!$V:$W,2,FALSE),1)
  * IFERROR(VLOOKUP(U35,'Rating Factors'!$X:$Y,2,FALSE),1)
  * IFERROR(VLOOKUP(AI35,'Rating Factors'!$AB:$AC,2,FALSE),1)
  * IFERROR(VLOOKUP(AK35,'Rating Factors'!$AK:$AL,2,FALSE),1)
  * IFERROR(VLOOKUP(AL35,'Rating Factors'!$AP:$AQ,2,FALSE),1)
  * IFERROR(LOOKUP(SUM($W$8:$Z$127),'Rating Factors'!$BD:$BD,'Rating Factors'!$BE:$BE),1))</f>
        <v>0</v>
      </c>
      <c r="AY35" s="158">
        <f>IF(OR(AQ35="Declined", AN35&lt;&gt;"Y"),
   0,
   N(AT35)*N('Rating Factors'!$AG$2)/100
)</f>
        <v>0</v>
      </c>
      <c r="AZ35" s="158">
        <f t="shared" si="6"/>
        <v>0</v>
      </c>
      <c r="BA35" s="142">
        <f>_xlfn.LET(
  _xlpm.base_ok, AND(AQ35&lt;&gt;"Declined", N(AQ35)&gt;0),
  _xlpm.is_full, EXACT(AG35, "Full Limit"),
  _xlpm.total_tiv, SUM($AT$8:$AT$127),
  _xlpm.loc_tiv, N(BE35),
  _xlpm.full_rate, N('Rating Factors'!$AO$10),
  _xlpm.min_per_loc, N('Rating Factors'!$AN$10),
  _xlpm.n_locs, N(E32),
  _xlpm.sched_prem, MAX(_xlpm.total_tiv*_xlpm.full_rate, _xlpm.min_per_loc*_xlpm.n_locs),
  _xlpm.alloc_prem, IF(_xlpm.total_tiv=0, 0, _xlpm.sched_prem * _xlpm.loc_tiv / _xlpm.total_tiv),
  _xlpm.cap_prem, IFERROR(VLOOKUP(AG35, 'Rating Factors'!$AM:$AN, 2, FALSE), 0),
  IF(_xlpm.base_ok,
     IF(_xlpm.is_full, _xlpm.alloc_prem, _xlpm.cap_prem),
     0
  )
)</f>
        <v>0</v>
      </c>
      <c r="BB35" s="143">
        <f t="shared" si="0"/>
        <v>0</v>
      </c>
      <c r="BC35" s="144">
        <f t="shared" si="7"/>
        <v>0</v>
      </c>
      <c r="BD35" s="145">
        <f t="shared" si="8"/>
        <v>0</v>
      </c>
      <c r="BE35" s="115">
        <f t="shared" si="1"/>
        <v>0</v>
      </c>
      <c r="BF35" s="106" t="str">
        <f t="shared" si="9"/>
        <v/>
      </c>
      <c r="BG35"/>
      <c r="BI35" s="67" t="str" cm="1">
        <f t="array" ref="BI35">IF(E35="","",LEFT(_xlfn.REGEXEXTRACT(UPPER(E35),"[A-Z][0-9][A-Z][ -]?[0-9][A-Z][0-9]"),3))</f>
        <v/>
      </c>
      <c r="BJ35" s="66" t="str">
        <f>IF(E35="","",_xlfn.XLOOKUP(BI35, CrestaP!B:B, CrestaP!D:D, ""))</f>
        <v/>
      </c>
      <c r="BK35" s="66" t="str">
        <f>IFERROR(
  INDEX(
    CrestaP!H4:M9,
    MATCH(J35, {"Frame","Brick Veneer","Joisted Masonry","Non-Combustible","Masonry Non-Combustible","Fire resistive"}, 0),
    MATCH(TEXT(BJ35,"@"), {"16","E5","E4","E3","E2","E1"}, 0)
  ),
  ""
)</f>
        <v/>
      </c>
    </row>
    <row r="36" spans="2:63" hidden="1" x14ac:dyDescent="0.25">
      <c r="B36"/>
      <c r="C36" s="24">
        <f t="shared" si="10"/>
        <v>29</v>
      </c>
      <c r="D36" s="25" t="s">
        <v>30</v>
      </c>
      <c r="E36" s="175"/>
      <c r="F36" s="89"/>
      <c r="G36" s="89"/>
      <c r="H36" s="104"/>
      <c r="I36" s="104"/>
      <c r="J36" s="89"/>
      <c r="K36" s="89"/>
      <c r="L36" s="89"/>
      <c r="M36" s="89"/>
      <c r="N36" s="89"/>
      <c r="O36" s="89"/>
      <c r="P36" s="104"/>
      <c r="Q36" s="104"/>
      <c r="R36" s="89"/>
      <c r="S36" s="89"/>
      <c r="T36" s="89"/>
      <c r="U36" s="25"/>
      <c r="V36" s="119"/>
      <c r="W36" s="19"/>
      <c r="X36" s="104"/>
      <c r="Y36" s="104"/>
      <c r="Z36" s="104"/>
      <c r="AA36" s="19"/>
      <c r="AB36" s="160" t="str">
        <f>IF(OR(AA36="",G36=""),"",VLOOKUP(G36,'Rating Factors'!$C:$E,3,FALSE)*AA36)</f>
        <v/>
      </c>
      <c r="AC36" s="20"/>
      <c r="AD36" s="20"/>
      <c r="AE36" s="104"/>
      <c r="AF36" s="96"/>
      <c r="AG36" s="20"/>
      <c r="AH36" s="119"/>
      <c r="AI36" s="19"/>
      <c r="AJ36" s="19"/>
      <c r="AK36" s="19"/>
      <c r="AL36" s="96"/>
      <c r="AM36" s="119"/>
      <c r="AN36" s="19"/>
      <c r="AO36" s="20"/>
      <c r="AP36" s="119"/>
      <c r="AQ36" s="115">
        <f t="shared" si="2"/>
        <v>0</v>
      </c>
      <c r="AR36" s="171">
        <f>IF(OR(Z36="",N(Z36)=0),
IF(
N(H36)+N(I36)=0,
0,
MAX(
IFERROR(VLOOKUP(AE36,'Rating Factors'!$BJ:$BK,2,FALSE),0),
((N(H36)*'Rating Factors'!$BF$2)+(N(I36)*'Rating Factors'!$BG$2))
*IFERROR(VLOOKUP(AE36,'Rating Factors'!$Z:$AA,2,FALSE),1)
*IFERROR(VLOOKUP(AJ36,'Rating Factors'!$AD:$AE,2,FALSE),1)
*IFERROR(VLOOKUP(SUM($H$8:$H$127),'Rating Factors'!$BM:$BN,2),1)
*IFERROR(VLOOKUP(SUM($I$8:$I$127),'Rating Factors'!$BH:$BI,2),1)
)
),
MAX(IFERROR(VLOOKUP(AE36,'Rating Factors'!$BJ:$BL,3,FALSE),0),
((N(I36)*'Rating Factors'!$BG$2))
*IFERROR(VLOOKUP(AE36,'Rating Factors'!$Z:$AA,2,FALSE),1)
*IFERROR(VLOOKUP(AJ36,'Rating Factors'!$AD:$AE,2,FALSE),1)
*N(AA36)* IFERROR(VLOOKUP(G36,'Rating Factors'!$C:$D,2,FALSE),1)*0.0045
))</f>
        <v>0</v>
      </c>
      <c r="AS36" s="172">
        <f t="shared" si="3"/>
        <v>0</v>
      </c>
      <c r="AT36" s="115">
        <f t="shared" si="11"/>
        <v>0</v>
      </c>
      <c r="AU36" s="173" t="str">
        <f t="shared" si="4"/>
        <v/>
      </c>
      <c r="AV36" s="174" t="str">
        <f t="shared" si="5"/>
        <v/>
      </c>
      <c r="AW36" s="119"/>
      <c r="AX36" s="141">
        <f>IF(
  OR(
    IFERROR(VLOOKUP(F36,'Rating Factors'!$A:$B,2,FALSE)="Decline",FALSE),
    IFERROR(VLOOKUP(G36,'Rating Factors'!$C:$D,2,FALSE)="Decline",FALSE),
    IFERROR(VLOOKUP(J36,'Rating Factors'!$F:$G,2,FALSE)="Decline",FALSE),
    IFERROR(VLOOKUP(K36,'Rating Factors'!$H:$I,2,FALSE)="Decline",FALSE),
    IFERROR(VLOOKUP(L36,'Rating Factors'!$J:$K,2,FALSE)="Decline",FALSE),
    IFERROR(VLOOKUP(M36,'Rating Factors'!$L:$M,2,FALSE)="Decline",FALSE),
    IFERROR(VLOOKUP(N36,'Rating Factors'!$N:$O,2,FALSE)="Decline",FALSE),
    IFERROR(VLOOKUP(O36,'Rating Factors'!$P:$Q,2,FALSE)="Decline",FALSE),
    IFERROR(VLOOKUP(P36,'Rating Factors'!$BO:$BP,2,FALSE)="Decline",FALSE),
    IFERROR(VLOOKUP(Q36,'Rating Factors'!$BQ:$BR,2,FALSE)="Decline",FALSE),
    IFERROR(VLOOKUP(R36,'Rating Factors'!$R:$S,2,FALSE)="Decline",FALSE),
    IFERROR(VLOOKUP(S36,'Rating Factors'!$T:$U,2,FALSE)="Decline",FALSE),
    IFERROR(VLOOKUP(T36,'Rating Factors'!$V:$W,2,FALSE)="Decline",FALSE),
    IFERROR(VLOOKUP(U36,'Rating Factors'!$X:$Y,2,FALSE)="Decline",FALSE),
    IFERROR(VLOOKUP(AI36,'Rating Factors'!$AB:$AC,2,FALSE)="Decline",FALSE),
    IFERROR(VLOOKUP(AK36,'Rating Factors'!$AK:$AL,2,FALSE)="Decline",FALSE),
    IFERROR(VLOOKUP(AL36,'Rating Factors'!$AP:$AQ,2,FALSE)="Decline",FALSE)
  ),
  "Declined",
  SUM(
    W36,
    X36,
    Y36*
      IFERROR(VLOOKUP(AD36,'Rating Factors'!$BS:$BT,2,FALSE),1),
    Z36*
      IFERROR(VLOOKUP(AD36,'Rating Factors'!$BS:$BT,2,FALSE),1)*
      IFERROR(VLOOKUP(AC36,'Rating Factors'!$BV:$BW,2,FALSE),1),
  )
  * IFERROR(VLOOKUP(F36,'Rating Factors'!$A:$B,2,FALSE),1)
  * IFERROR(VLOOKUP(G36,'Rating Factors'!$C:$D,2,FALSE),1)
  * IFERROR(VLOOKUP(J36,'Rating Factors'!$F:$G,2,FALSE),1)
  * IFERROR(VLOOKUP(K36,'Rating Factors'!$H:$I,2,FALSE),1)
  * IFERROR(VLOOKUP(L36,'Rating Factors'!$J:$K,2,FALSE),1)
  * IFERROR(VLOOKUP(M36,'Rating Factors'!$L:$M,2,FALSE),1)
  * IFERROR(VLOOKUP(N36,'Rating Factors'!$N:$O,2,FALSE),1)
  * IFERROR(VLOOKUP(O36,'Rating Factors'!$P:$Q,2,FALSE),1)
  * IFERROR(VLOOKUP(P36,'Rating Factors'!$BO:$BP,2,FALSE),1)
  * IFERROR(VLOOKUP(Q36,'Rating Factors'!$BQ:$BR,2,FALSE),1)
  * IFERROR(VLOOKUP(R36,'Rating Factors'!$R:$S,2,FALSE),1)
  * IFERROR(VLOOKUP(S36,'Rating Factors'!$T:$U,2,FALSE),1)
  * IFERROR(VLOOKUP(T36,'Rating Factors'!$V:$W,2,FALSE),1)
  * IFERROR(VLOOKUP(U36,'Rating Factors'!$X:$Y,2,FALSE),1)
  * IFERROR(VLOOKUP(AI36,'Rating Factors'!$AB:$AC,2,FALSE),1)
  * IFERROR(VLOOKUP(AK36,'Rating Factors'!$AK:$AL,2,FALSE),1)
  * IFERROR(VLOOKUP(AL36,'Rating Factors'!$AP:$AQ,2,FALSE),1)
  * IFERROR(LOOKUP(SUM($W$8:$Z$127),'Rating Factors'!$BD:$BD,'Rating Factors'!$BE:$BE),1))</f>
        <v>0</v>
      </c>
      <c r="AY36" s="158">
        <f>IF(OR(AQ36="Declined", AN36&lt;&gt;"Y"),
   0,
   N(AT36)*N('Rating Factors'!$AG$2)/100
)</f>
        <v>0</v>
      </c>
      <c r="AZ36" s="158">
        <f t="shared" si="6"/>
        <v>0</v>
      </c>
      <c r="BA36" s="142">
        <f>_xlfn.LET(
  _xlpm.base_ok, AND(AQ36&lt;&gt;"Declined", N(AQ36)&gt;0),
  _xlpm.is_full, EXACT(AG36, "Full Limit"),
  _xlpm.total_tiv, SUM($AT$8:$AT$127),
  _xlpm.loc_tiv, N(BE36),
  _xlpm.full_rate, N('Rating Factors'!$AO$10),
  _xlpm.min_per_loc, N('Rating Factors'!$AN$10),
  _xlpm.n_locs, N(E33),
  _xlpm.sched_prem, MAX(_xlpm.total_tiv*_xlpm.full_rate, _xlpm.min_per_loc*_xlpm.n_locs),
  _xlpm.alloc_prem, IF(_xlpm.total_tiv=0, 0, _xlpm.sched_prem * _xlpm.loc_tiv / _xlpm.total_tiv),
  _xlpm.cap_prem, IFERROR(VLOOKUP(AG36, 'Rating Factors'!$AM:$AN, 2, FALSE), 0),
  IF(_xlpm.base_ok,
     IF(_xlpm.is_full, _xlpm.alloc_prem, _xlpm.cap_prem),
     0
  )
)</f>
        <v>0</v>
      </c>
      <c r="BB36" s="143">
        <f t="shared" si="0"/>
        <v>0</v>
      </c>
      <c r="BC36" s="144">
        <f t="shared" si="7"/>
        <v>0</v>
      </c>
      <c r="BD36" s="145">
        <f t="shared" si="8"/>
        <v>0</v>
      </c>
      <c r="BE36" s="115">
        <f t="shared" si="1"/>
        <v>0</v>
      </c>
      <c r="BF36" s="106" t="str">
        <f t="shared" si="9"/>
        <v/>
      </c>
      <c r="BG36"/>
      <c r="BI36" s="67" t="str" cm="1">
        <f t="array" ref="BI36">IF(E36="","",LEFT(_xlfn.REGEXEXTRACT(UPPER(E36),"[A-Z][0-9][A-Z][ -]?[0-9][A-Z][0-9]"),3))</f>
        <v/>
      </c>
      <c r="BJ36" s="66" t="str">
        <f>IF(E36="","",_xlfn.XLOOKUP(BI36, CrestaP!B:B, CrestaP!D:D, ""))</f>
        <v/>
      </c>
      <c r="BK36" s="66" t="str">
        <f>IFERROR(
  INDEX(
    CrestaP!H4:M9,
    MATCH(J36, {"Frame","Brick Veneer","Joisted Masonry","Non-Combustible","Masonry Non-Combustible","Fire resistive"}, 0),
    MATCH(TEXT(BJ36,"@"), {"16","E5","E4","E3","E2","E1"}, 0)
  ),
  ""
)</f>
        <v/>
      </c>
    </row>
    <row r="37" spans="2:63" hidden="1" x14ac:dyDescent="0.25">
      <c r="B37"/>
      <c r="C37" s="24">
        <f t="shared" si="10"/>
        <v>30</v>
      </c>
      <c r="D37" s="25" t="s">
        <v>30</v>
      </c>
      <c r="E37" s="175"/>
      <c r="F37" s="89"/>
      <c r="G37" s="89"/>
      <c r="H37" s="104"/>
      <c r="I37" s="104"/>
      <c r="J37" s="89"/>
      <c r="K37" s="89"/>
      <c r="L37" s="89"/>
      <c r="M37" s="89"/>
      <c r="N37" s="89"/>
      <c r="O37" s="89"/>
      <c r="P37" s="104"/>
      <c r="Q37" s="104"/>
      <c r="R37" s="89"/>
      <c r="S37" s="89"/>
      <c r="T37" s="89"/>
      <c r="U37" s="25"/>
      <c r="V37" s="119"/>
      <c r="W37" s="19"/>
      <c r="X37" s="104"/>
      <c r="Y37" s="104"/>
      <c r="Z37" s="104"/>
      <c r="AA37" s="19"/>
      <c r="AB37" s="160" t="str">
        <f>IF(OR(AA37="",G37=""),"",VLOOKUP(G37,'Rating Factors'!$C:$E,3,FALSE)*AA37)</f>
        <v/>
      </c>
      <c r="AC37" s="20"/>
      <c r="AD37" s="20"/>
      <c r="AE37" s="104"/>
      <c r="AF37" s="96"/>
      <c r="AG37" s="20"/>
      <c r="AH37" s="119"/>
      <c r="AI37" s="19"/>
      <c r="AJ37" s="19"/>
      <c r="AK37" s="19"/>
      <c r="AL37" s="96"/>
      <c r="AM37" s="119"/>
      <c r="AN37" s="19"/>
      <c r="AO37" s="20"/>
      <c r="AP37" s="119"/>
      <c r="AQ37" s="115">
        <f t="shared" si="2"/>
        <v>0</v>
      </c>
      <c r="AR37" s="171">
        <f>IF(OR(Z37="",N(Z37)=0),
IF(
N(H37)+N(I37)=0,
0,
MAX(
IFERROR(VLOOKUP(AE37,'Rating Factors'!$BJ:$BK,2,FALSE),0),
((N(H37)*'Rating Factors'!$BF$2)+(N(I37)*'Rating Factors'!$BG$2))
*IFERROR(VLOOKUP(AE37,'Rating Factors'!$Z:$AA,2,FALSE),1)
*IFERROR(VLOOKUP(AJ37,'Rating Factors'!$AD:$AE,2,FALSE),1)
*IFERROR(VLOOKUP(SUM($H$8:$H$127),'Rating Factors'!$BM:$BN,2),1)
*IFERROR(VLOOKUP(SUM($I$8:$I$127),'Rating Factors'!$BH:$BI,2),1)
)
),
MAX(IFERROR(VLOOKUP(AE37,'Rating Factors'!$BJ:$BL,3,FALSE),0),
((N(I37)*'Rating Factors'!$BG$2))
*IFERROR(VLOOKUP(AE37,'Rating Factors'!$Z:$AA,2,FALSE),1)
*IFERROR(VLOOKUP(AJ37,'Rating Factors'!$AD:$AE,2,FALSE),1)
*N(AA37)* IFERROR(VLOOKUP(G37,'Rating Factors'!$C:$D,2,FALSE),1)*0.0045
))</f>
        <v>0</v>
      </c>
      <c r="AS37" s="172">
        <f t="shared" si="3"/>
        <v>0</v>
      </c>
      <c r="AT37" s="115">
        <f t="shared" si="11"/>
        <v>0</v>
      </c>
      <c r="AU37" s="173" t="str">
        <f t="shared" si="4"/>
        <v/>
      </c>
      <c r="AV37" s="174" t="str">
        <f t="shared" si="5"/>
        <v/>
      </c>
      <c r="AW37" s="119"/>
      <c r="AX37" s="141">
        <f>IF(
  OR(
    IFERROR(VLOOKUP(F37,'Rating Factors'!$A:$B,2,FALSE)="Decline",FALSE),
    IFERROR(VLOOKUP(G37,'Rating Factors'!$C:$D,2,FALSE)="Decline",FALSE),
    IFERROR(VLOOKUP(J37,'Rating Factors'!$F:$G,2,FALSE)="Decline",FALSE),
    IFERROR(VLOOKUP(K37,'Rating Factors'!$H:$I,2,FALSE)="Decline",FALSE),
    IFERROR(VLOOKUP(L37,'Rating Factors'!$J:$K,2,FALSE)="Decline",FALSE),
    IFERROR(VLOOKUP(M37,'Rating Factors'!$L:$M,2,FALSE)="Decline",FALSE),
    IFERROR(VLOOKUP(N37,'Rating Factors'!$N:$O,2,FALSE)="Decline",FALSE),
    IFERROR(VLOOKUP(O37,'Rating Factors'!$P:$Q,2,FALSE)="Decline",FALSE),
    IFERROR(VLOOKUP(P37,'Rating Factors'!$BO:$BP,2,FALSE)="Decline",FALSE),
    IFERROR(VLOOKUP(Q37,'Rating Factors'!$BQ:$BR,2,FALSE)="Decline",FALSE),
    IFERROR(VLOOKUP(R37,'Rating Factors'!$R:$S,2,FALSE)="Decline",FALSE),
    IFERROR(VLOOKUP(S37,'Rating Factors'!$T:$U,2,FALSE)="Decline",FALSE),
    IFERROR(VLOOKUP(T37,'Rating Factors'!$V:$W,2,FALSE)="Decline",FALSE),
    IFERROR(VLOOKUP(U37,'Rating Factors'!$X:$Y,2,FALSE)="Decline",FALSE),
    IFERROR(VLOOKUP(AI37,'Rating Factors'!$AB:$AC,2,FALSE)="Decline",FALSE),
    IFERROR(VLOOKUP(AK37,'Rating Factors'!$AK:$AL,2,FALSE)="Decline",FALSE),
    IFERROR(VLOOKUP(AL37,'Rating Factors'!$AP:$AQ,2,FALSE)="Decline",FALSE)
  ),
  "Declined",
  SUM(
    W37,
    X37,
    Y37*
      IFERROR(VLOOKUP(AD37,'Rating Factors'!$BS:$BT,2,FALSE),1),
    Z37*
      IFERROR(VLOOKUP(AD37,'Rating Factors'!$BS:$BT,2,FALSE),1)*
      IFERROR(VLOOKUP(AC37,'Rating Factors'!$BV:$BW,2,FALSE),1),
  )
  * IFERROR(VLOOKUP(F37,'Rating Factors'!$A:$B,2,FALSE),1)
  * IFERROR(VLOOKUP(G37,'Rating Factors'!$C:$D,2,FALSE),1)
  * IFERROR(VLOOKUP(J37,'Rating Factors'!$F:$G,2,FALSE),1)
  * IFERROR(VLOOKUP(K37,'Rating Factors'!$H:$I,2,FALSE),1)
  * IFERROR(VLOOKUP(L37,'Rating Factors'!$J:$K,2,FALSE),1)
  * IFERROR(VLOOKUP(M37,'Rating Factors'!$L:$M,2,FALSE),1)
  * IFERROR(VLOOKUP(N37,'Rating Factors'!$N:$O,2,FALSE),1)
  * IFERROR(VLOOKUP(O37,'Rating Factors'!$P:$Q,2,FALSE),1)
  * IFERROR(VLOOKUP(P37,'Rating Factors'!$BO:$BP,2,FALSE),1)
  * IFERROR(VLOOKUP(Q37,'Rating Factors'!$BQ:$BR,2,FALSE),1)
  * IFERROR(VLOOKUP(R37,'Rating Factors'!$R:$S,2,FALSE),1)
  * IFERROR(VLOOKUP(S37,'Rating Factors'!$T:$U,2,FALSE),1)
  * IFERROR(VLOOKUP(T37,'Rating Factors'!$V:$W,2,FALSE),1)
  * IFERROR(VLOOKUP(U37,'Rating Factors'!$X:$Y,2,FALSE),1)
  * IFERROR(VLOOKUP(AI37,'Rating Factors'!$AB:$AC,2,FALSE),1)
  * IFERROR(VLOOKUP(AK37,'Rating Factors'!$AK:$AL,2,FALSE),1)
  * IFERROR(VLOOKUP(AL37,'Rating Factors'!$AP:$AQ,2,FALSE),1)
  * IFERROR(LOOKUP(SUM($W$8:$Z$127),'Rating Factors'!$BD:$BD,'Rating Factors'!$BE:$BE),1))</f>
        <v>0</v>
      </c>
      <c r="AY37" s="158">
        <f>IF(OR(AQ37="Declined", AN37&lt;&gt;"Y"),
   0,
   N(AT37)*N('Rating Factors'!$AG$2)/100
)</f>
        <v>0</v>
      </c>
      <c r="AZ37" s="158">
        <f t="shared" si="6"/>
        <v>0</v>
      </c>
      <c r="BA37" s="142">
        <f>_xlfn.LET(
  _xlpm.base_ok, AND(AQ37&lt;&gt;"Declined", N(AQ37)&gt;0),
  _xlpm.is_full, EXACT(AG37, "Full Limit"),
  _xlpm.total_tiv, SUM($AT$8:$AT$127),
  _xlpm.loc_tiv, N(BE37),
  _xlpm.full_rate, N('Rating Factors'!$AO$10),
  _xlpm.min_per_loc, N('Rating Factors'!$AN$10),
  _xlpm.n_locs, N(E34),
  _xlpm.sched_prem, MAX(_xlpm.total_tiv*_xlpm.full_rate, _xlpm.min_per_loc*_xlpm.n_locs),
  _xlpm.alloc_prem, IF(_xlpm.total_tiv=0, 0, _xlpm.sched_prem * _xlpm.loc_tiv / _xlpm.total_tiv),
  _xlpm.cap_prem, IFERROR(VLOOKUP(AG37, 'Rating Factors'!$AM:$AN, 2, FALSE), 0),
  IF(_xlpm.base_ok,
     IF(_xlpm.is_full, _xlpm.alloc_prem, _xlpm.cap_prem),
     0
  )
)</f>
        <v>0</v>
      </c>
      <c r="BB37" s="143">
        <f t="shared" si="0"/>
        <v>0</v>
      </c>
      <c r="BC37" s="144">
        <f t="shared" si="7"/>
        <v>0</v>
      </c>
      <c r="BD37" s="145">
        <f t="shared" si="8"/>
        <v>0</v>
      </c>
      <c r="BE37" s="115">
        <f t="shared" si="1"/>
        <v>0</v>
      </c>
      <c r="BF37" s="106" t="str">
        <f t="shared" si="9"/>
        <v/>
      </c>
      <c r="BG37"/>
      <c r="BI37" s="67" t="str" cm="1">
        <f t="array" ref="BI37">IF(E37="","",LEFT(_xlfn.REGEXEXTRACT(UPPER(E37),"[A-Z][0-9][A-Z][ -]?[0-9][A-Z][0-9]"),3))</f>
        <v/>
      </c>
      <c r="BJ37" s="66" t="str">
        <f>IF(E37="","",_xlfn.XLOOKUP(BI37, CrestaP!B:B, CrestaP!D:D, ""))</f>
        <v/>
      </c>
      <c r="BK37" s="66" t="str">
        <f>IFERROR(
  INDEX(
    CrestaP!H4:M9,
    MATCH(J37, {"Frame","Brick Veneer","Joisted Masonry","Non-Combustible","Masonry Non-Combustible","Fire resistive"}, 0),
    MATCH(TEXT(BJ37,"@"), {"16","E5","E4","E3","E2","E1"}, 0)
  ),
  ""
)</f>
        <v/>
      </c>
    </row>
    <row r="38" spans="2:63" hidden="1" x14ac:dyDescent="0.25">
      <c r="B38"/>
      <c r="C38" s="24">
        <f t="shared" si="10"/>
        <v>31</v>
      </c>
      <c r="D38" s="25" t="s">
        <v>30</v>
      </c>
      <c r="E38" s="175"/>
      <c r="F38" s="89"/>
      <c r="G38" s="89"/>
      <c r="H38" s="104"/>
      <c r="I38" s="104"/>
      <c r="J38" s="89"/>
      <c r="K38" s="89"/>
      <c r="L38" s="89"/>
      <c r="M38" s="89"/>
      <c r="N38" s="89"/>
      <c r="O38" s="89"/>
      <c r="P38" s="104"/>
      <c r="Q38" s="104"/>
      <c r="R38" s="89"/>
      <c r="S38" s="89"/>
      <c r="T38" s="89"/>
      <c r="U38" s="25"/>
      <c r="V38" s="119"/>
      <c r="W38" s="19"/>
      <c r="X38" s="104"/>
      <c r="Y38" s="104"/>
      <c r="Z38" s="104"/>
      <c r="AA38" s="19"/>
      <c r="AB38" s="160" t="str">
        <f>IF(OR(AA38="",G38=""),"",VLOOKUP(G38,'Rating Factors'!$C:$E,3,FALSE)*AA38)</f>
        <v/>
      </c>
      <c r="AC38" s="20"/>
      <c r="AD38" s="20"/>
      <c r="AE38" s="104"/>
      <c r="AF38" s="96"/>
      <c r="AG38" s="20"/>
      <c r="AH38" s="119"/>
      <c r="AI38" s="19"/>
      <c r="AJ38" s="19"/>
      <c r="AK38" s="19"/>
      <c r="AL38" s="96"/>
      <c r="AM38" s="119"/>
      <c r="AN38" s="19"/>
      <c r="AO38" s="20"/>
      <c r="AP38" s="119"/>
      <c r="AQ38" s="115">
        <f t="shared" si="2"/>
        <v>0</v>
      </c>
      <c r="AR38" s="171">
        <f>IF(OR(Z38="",N(Z38)=0),
IF(
N(H38)+N(I38)=0,
0,
MAX(
IFERROR(VLOOKUP(AE38,'Rating Factors'!$BJ:$BK,2,FALSE),0),
((N(H38)*'Rating Factors'!$BF$2)+(N(I38)*'Rating Factors'!$BG$2))
*IFERROR(VLOOKUP(AE38,'Rating Factors'!$Z:$AA,2,FALSE),1)
*IFERROR(VLOOKUP(AJ38,'Rating Factors'!$AD:$AE,2,FALSE),1)
*IFERROR(VLOOKUP(SUM($H$8:$H$127),'Rating Factors'!$BM:$BN,2),1)
*IFERROR(VLOOKUP(SUM($I$8:$I$127),'Rating Factors'!$BH:$BI,2),1)
)
),
MAX(IFERROR(VLOOKUP(AE38,'Rating Factors'!$BJ:$BL,3,FALSE),0),
((N(I38)*'Rating Factors'!$BG$2))
*IFERROR(VLOOKUP(AE38,'Rating Factors'!$Z:$AA,2,FALSE),1)
*IFERROR(VLOOKUP(AJ38,'Rating Factors'!$AD:$AE,2,FALSE),1)
*N(AA38)* IFERROR(VLOOKUP(G38,'Rating Factors'!$C:$D,2,FALSE),1)*0.0045
))</f>
        <v>0</v>
      </c>
      <c r="AS38" s="172">
        <f t="shared" si="3"/>
        <v>0</v>
      </c>
      <c r="AT38" s="115">
        <f t="shared" si="11"/>
        <v>0</v>
      </c>
      <c r="AU38" s="173" t="str">
        <f t="shared" si="4"/>
        <v/>
      </c>
      <c r="AV38" s="174" t="str">
        <f t="shared" si="5"/>
        <v/>
      </c>
      <c r="AW38" s="119"/>
      <c r="AX38" s="141">
        <f>IF(
  OR(
    IFERROR(VLOOKUP(F38,'Rating Factors'!$A:$B,2,FALSE)="Decline",FALSE),
    IFERROR(VLOOKUP(G38,'Rating Factors'!$C:$D,2,FALSE)="Decline",FALSE),
    IFERROR(VLOOKUP(J38,'Rating Factors'!$F:$G,2,FALSE)="Decline",FALSE),
    IFERROR(VLOOKUP(K38,'Rating Factors'!$H:$I,2,FALSE)="Decline",FALSE),
    IFERROR(VLOOKUP(L38,'Rating Factors'!$J:$K,2,FALSE)="Decline",FALSE),
    IFERROR(VLOOKUP(M38,'Rating Factors'!$L:$M,2,FALSE)="Decline",FALSE),
    IFERROR(VLOOKUP(N38,'Rating Factors'!$N:$O,2,FALSE)="Decline",FALSE),
    IFERROR(VLOOKUP(O38,'Rating Factors'!$P:$Q,2,FALSE)="Decline",FALSE),
    IFERROR(VLOOKUP(P38,'Rating Factors'!$BO:$BP,2,FALSE)="Decline",FALSE),
    IFERROR(VLOOKUP(Q38,'Rating Factors'!$BQ:$BR,2,FALSE)="Decline",FALSE),
    IFERROR(VLOOKUP(R38,'Rating Factors'!$R:$S,2,FALSE)="Decline",FALSE),
    IFERROR(VLOOKUP(S38,'Rating Factors'!$T:$U,2,FALSE)="Decline",FALSE),
    IFERROR(VLOOKUP(T38,'Rating Factors'!$V:$W,2,FALSE)="Decline",FALSE),
    IFERROR(VLOOKUP(U38,'Rating Factors'!$X:$Y,2,FALSE)="Decline",FALSE),
    IFERROR(VLOOKUP(AI38,'Rating Factors'!$AB:$AC,2,FALSE)="Decline",FALSE),
    IFERROR(VLOOKUP(AK38,'Rating Factors'!$AK:$AL,2,FALSE)="Decline",FALSE),
    IFERROR(VLOOKUP(AL38,'Rating Factors'!$AP:$AQ,2,FALSE)="Decline",FALSE)
  ),
  "Declined",
  SUM(
    W38,
    X38,
    Y38*
      IFERROR(VLOOKUP(AD38,'Rating Factors'!$BS:$BT,2,FALSE),1),
    Z38*
      IFERROR(VLOOKUP(AD38,'Rating Factors'!$BS:$BT,2,FALSE),1)*
      IFERROR(VLOOKUP(AC38,'Rating Factors'!$BV:$BW,2,FALSE),1),
  )
  * IFERROR(VLOOKUP(F38,'Rating Factors'!$A:$B,2,FALSE),1)
  * IFERROR(VLOOKUP(G38,'Rating Factors'!$C:$D,2,FALSE),1)
  * IFERROR(VLOOKUP(J38,'Rating Factors'!$F:$G,2,FALSE),1)
  * IFERROR(VLOOKUP(K38,'Rating Factors'!$H:$I,2,FALSE),1)
  * IFERROR(VLOOKUP(L38,'Rating Factors'!$J:$K,2,FALSE),1)
  * IFERROR(VLOOKUP(M38,'Rating Factors'!$L:$M,2,FALSE),1)
  * IFERROR(VLOOKUP(N38,'Rating Factors'!$N:$O,2,FALSE),1)
  * IFERROR(VLOOKUP(O38,'Rating Factors'!$P:$Q,2,FALSE),1)
  * IFERROR(VLOOKUP(P38,'Rating Factors'!$BO:$BP,2,FALSE),1)
  * IFERROR(VLOOKUP(Q38,'Rating Factors'!$BQ:$BR,2,FALSE),1)
  * IFERROR(VLOOKUP(R38,'Rating Factors'!$R:$S,2,FALSE),1)
  * IFERROR(VLOOKUP(S38,'Rating Factors'!$T:$U,2,FALSE),1)
  * IFERROR(VLOOKUP(T38,'Rating Factors'!$V:$W,2,FALSE),1)
  * IFERROR(VLOOKUP(U38,'Rating Factors'!$X:$Y,2,FALSE),1)
  * IFERROR(VLOOKUP(AI38,'Rating Factors'!$AB:$AC,2,FALSE),1)
  * IFERROR(VLOOKUP(AK38,'Rating Factors'!$AK:$AL,2,FALSE),1)
  * IFERROR(VLOOKUP(AL38,'Rating Factors'!$AP:$AQ,2,FALSE),1)
  * IFERROR(LOOKUP(SUM($W$8:$Z$127),'Rating Factors'!$BD:$BD,'Rating Factors'!$BE:$BE),1))</f>
        <v>0</v>
      </c>
      <c r="AY38" s="158">
        <f>IF(OR(AQ38="Declined", AN38&lt;&gt;"Y"),
   0,
   N(AT38)*N('Rating Factors'!$AG$2)/100
)</f>
        <v>0</v>
      </c>
      <c r="AZ38" s="158">
        <f t="shared" si="6"/>
        <v>0</v>
      </c>
      <c r="BA38" s="142">
        <f>_xlfn.LET(
  _xlpm.base_ok, AND(AQ38&lt;&gt;"Declined", N(AQ38)&gt;0),
  _xlpm.is_full, EXACT(AG38, "Full Limit"),
  _xlpm.total_tiv, SUM($AT$8:$AT$127),
  _xlpm.loc_tiv, N(BE38),
  _xlpm.full_rate, N('Rating Factors'!$AO$10),
  _xlpm.min_per_loc, N('Rating Factors'!$AN$10),
  _xlpm.n_locs, N(E35),
  _xlpm.sched_prem, MAX(_xlpm.total_tiv*_xlpm.full_rate, _xlpm.min_per_loc*_xlpm.n_locs),
  _xlpm.alloc_prem, IF(_xlpm.total_tiv=0, 0, _xlpm.sched_prem * _xlpm.loc_tiv / _xlpm.total_tiv),
  _xlpm.cap_prem, IFERROR(VLOOKUP(AG38, 'Rating Factors'!$AM:$AN, 2, FALSE), 0),
  IF(_xlpm.base_ok,
     IF(_xlpm.is_full, _xlpm.alloc_prem, _xlpm.cap_prem),
     0
  )
)</f>
        <v>0</v>
      </c>
      <c r="BB38" s="143">
        <f t="shared" si="0"/>
        <v>0</v>
      </c>
      <c r="BC38" s="144">
        <f t="shared" si="7"/>
        <v>0</v>
      </c>
      <c r="BD38" s="145">
        <f t="shared" si="8"/>
        <v>0</v>
      </c>
      <c r="BE38" s="115">
        <f t="shared" si="1"/>
        <v>0</v>
      </c>
      <c r="BF38" s="106" t="str">
        <f t="shared" si="9"/>
        <v/>
      </c>
      <c r="BG38"/>
      <c r="BI38" s="67" t="str" cm="1">
        <f t="array" ref="BI38">IF(E38="","",LEFT(_xlfn.REGEXEXTRACT(UPPER(E38),"[A-Z][0-9][A-Z][ -]?[0-9][A-Z][0-9]"),3))</f>
        <v/>
      </c>
      <c r="BJ38" s="66" t="str">
        <f>IF(E38="","",_xlfn.XLOOKUP(BI38, CrestaP!B:B, CrestaP!D:D, ""))</f>
        <v/>
      </c>
      <c r="BK38" s="66" t="str">
        <f>IFERROR(
  INDEX(
    CrestaP!H4:M9,
    MATCH(J38, {"Frame","Brick Veneer","Joisted Masonry","Non-Combustible","Masonry Non-Combustible","Fire resistive"}, 0),
    MATCH(TEXT(BJ38,"@"), {"16","E5","E4","E3","E2","E1"}, 0)
  ),
  ""
)</f>
        <v/>
      </c>
    </row>
    <row r="39" spans="2:63" hidden="1" x14ac:dyDescent="0.25">
      <c r="B39"/>
      <c r="C39" s="24">
        <f t="shared" si="10"/>
        <v>32</v>
      </c>
      <c r="D39" s="25" t="s">
        <v>30</v>
      </c>
      <c r="E39" s="175"/>
      <c r="F39" s="89"/>
      <c r="G39" s="89"/>
      <c r="H39" s="104"/>
      <c r="I39" s="104"/>
      <c r="J39" s="89"/>
      <c r="K39" s="89"/>
      <c r="L39" s="89"/>
      <c r="M39" s="89"/>
      <c r="N39" s="89"/>
      <c r="O39" s="89"/>
      <c r="P39" s="104"/>
      <c r="Q39" s="104"/>
      <c r="R39" s="89"/>
      <c r="S39" s="89"/>
      <c r="T39" s="89"/>
      <c r="U39" s="25"/>
      <c r="V39" s="119"/>
      <c r="W39" s="19"/>
      <c r="X39" s="104"/>
      <c r="Y39" s="104"/>
      <c r="Z39" s="104"/>
      <c r="AA39" s="19"/>
      <c r="AB39" s="160" t="str">
        <f>IF(OR(AA39="",G39=""),"",VLOOKUP(G39,'Rating Factors'!$C:$E,3,FALSE)*AA39)</f>
        <v/>
      </c>
      <c r="AC39" s="20"/>
      <c r="AD39" s="20"/>
      <c r="AE39" s="104"/>
      <c r="AF39" s="96"/>
      <c r="AG39" s="20"/>
      <c r="AH39" s="119"/>
      <c r="AI39" s="19"/>
      <c r="AJ39" s="19"/>
      <c r="AK39" s="19"/>
      <c r="AL39" s="96"/>
      <c r="AM39" s="119"/>
      <c r="AN39" s="19"/>
      <c r="AO39" s="20"/>
      <c r="AP39" s="119"/>
      <c r="AQ39" s="115">
        <f t="shared" si="2"/>
        <v>0</v>
      </c>
      <c r="AR39" s="171">
        <f>IF(OR(Z39="",N(Z39)=0),
IF(
N(H39)+N(I39)=0,
0,
MAX(
IFERROR(VLOOKUP(AE39,'Rating Factors'!$BJ:$BK,2,FALSE),0),
((N(H39)*'Rating Factors'!$BF$2)+(N(I39)*'Rating Factors'!$BG$2))
*IFERROR(VLOOKUP(AE39,'Rating Factors'!$Z:$AA,2,FALSE),1)
*IFERROR(VLOOKUP(AJ39,'Rating Factors'!$AD:$AE,2,FALSE),1)
*IFERROR(VLOOKUP(SUM($H$8:$H$127),'Rating Factors'!$BM:$BN,2),1)
*IFERROR(VLOOKUP(SUM($I$8:$I$127),'Rating Factors'!$BH:$BI,2),1)
)
),
MAX(IFERROR(VLOOKUP(AE39,'Rating Factors'!$BJ:$BL,3,FALSE),0),
((N(I39)*'Rating Factors'!$BG$2))
*IFERROR(VLOOKUP(AE39,'Rating Factors'!$Z:$AA,2,FALSE),1)
*IFERROR(VLOOKUP(AJ39,'Rating Factors'!$AD:$AE,2,FALSE),1)
*N(AA39)* IFERROR(VLOOKUP(G39,'Rating Factors'!$C:$D,2,FALSE),1)*0.0045
))</f>
        <v>0</v>
      </c>
      <c r="AS39" s="172">
        <f t="shared" si="3"/>
        <v>0</v>
      </c>
      <c r="AT39" s="115">
        <f t="shared" si="11"/>
        <v>0</v>
      </c>
      <c r="AU39" s="173" t="str">
        <f t="shared" si="4"/>
        <v/>
      </c>
      <c r="AV39" s="174" t="str">
        <f t="shared" si="5"/>
        <v/>
      </c>
      <c r="AW39" s="119"/>
      <c r="AX39" s="141">
        <f>IF(
  OR(
    IFERROR(VLOOKUP(F39,'Rating Factors'!$A:$B,2,FALSE)="Decline",FALSE),
    IFERROR(VLOOKUP(G39,'Rating Factors'!$C:$D,2,FALSE)="Decline",FALSE),
    IFERROR(VLOOKUP(J39,'Rating Factors'!$F:$G,2,FALSE)="Decline",FALSE),
    IFERROR(VLOOKUP(K39,'Rating Factors'!$H:$I,2,FALSE)="Decline",FALSE),
    IFERROR(VLOOKUP(L39,'Rating Factors'!$J:$K,2,FALSE)="Decline",FALSE),
    IFERROR(VLOOKUP(M39,'Rating Factors'!$L:$M,2,FALSE)="Decline",FALSE),
    IFERROR(VLOOKUP(N39,'Rating Factors'!$N:$O,2,FALSE)="Decline",FALSE),
    IFERROR(VLOOKUP(O39,'Rating Factors'!$P:$Q,2,FALSE)="Decline",FALSE),
    IFERROR(VLOOKUP(P39,'Rating Factors'!$BO:$BP,2,FALSE)="Decline",FALSE),
    IFERROR(VLOOKUP(Q39,'Rating Factors'!$BQ:$BR,2,FALSE)="Decline",FALSE),
    IFERROR(VLOOKUP(R39,'Rating Factors'!$R:$S,2,FALSE)="Decline",FALSE),
    IFERROR(VLOOKUP(S39,'Rating Factors'!$T:$U,2,FALSE)="Decline",FALSE),
    IFERROR(VLOOKUP(T39,'Rating Factors'!$V:$W,2,FALSE)="Decline",FALSE),
    IFERROR(VLOOKUP(U39,'Rating Factors'!$X:$Y,2,FALSE)="Decline",FALSE),
    IFERROR(VLOOKUP(AI39,'Rating Factors'!$AB:$AC,2,FALSE)="Decline",FALSE),
    IFERROR(VLOOKUP(AK39,'Rating Factors'!$AK:$AL,2,FALSE)="Decline",FALSE),
    IFERROR(VLOOKUP(AL39,'Rating Factors'!$AP:$AQ,2,FALSE)="Decline",FALSE)
  ),
  "Declined",
  SUM(
    W39,
    X39,
    Y39*
      IFERROR(VLOOKUP(AD39,'Rating Factors'!$BS:$BT,2,FALSE),1),
    Z39*
      IFERROR(VLOOKUP(AD39,'Rating Factors'!$BS:$BT,2,FALSE),1)*
      IFERROR(VLOOKUP(AC39,'Rating Factors'!$BV:$BW,2,FALSE),1),
  )
  * IFERROR(VLOOKUP(F39,'Rating Factors'!$A:$B,2,FALSE),1)
  * IFERROR(VLOOKUP(G39,'Rating Factors'!$C:$D,2,FALSE),1)
  * IFERROR(VLOOKUP(J39,'Rating Factors'!$F:$G,2,FALSE),1)
  * IFERROR(VLOOKUP(K39,'Rating Factors'!$H:$I,2,FALSE),1)
  * IFERROR(VLOOKUP(L39,'Rating Factors'!$J:$K,2,FALSE),1)
  * IFERROR(VLOOKUP(M39,'Rating Factors'!$L:$M,2,FALSE),1)
  * IFERROR(VLOOKUP(N39,'Rating Factors'!$N:$O,2,FALSE),1)
  * IFERROR(VLOOKUP(O39,'Rating Factors'!$P:$Q,2,FALSE),1)
  * IFERROR(VLOOKUP(P39,'Rating Factors'!$BO:$BP,2,FALSE),1)
  * IFERROR(VLOOKUP(Q39,'Rating Factors'!$BQ:$BR,2,FALSE),1)
  * IFERROR(VLOOKUP(R39,'Rating Factors'!$R:$S,2,FALSE),1)
  * IFERROR(VLOOKUP(S39,'Rating Factors'!$T:$U,2,FALSE),1)
  * IFERROR(VLOOKUP(T39,'Rating Factors'!$V:$W,2,FALSE),1)
  * IFERROR(VLOOKUP(U39,'Rating Factors'!$X:$Y,2,FALSE),1)
  * IFERROR(VLOOKUP(AI39,'Rating Factors'!$AB:$AC,2,FALSE),1)
  * IFERROR(VLOOKUP(AK39,'Rating Factors'!$AK:$AL,2,FALSE),1)
  * IFERROR(VLOOKUP(AL39,'Rating Factors'!$AP:$AQ,2,FALSE),1)
  * IFERROR(LOOKUP(SUM($W$8:$Z$127),'Rating Factors'!$BD:$BD,'Rating Factors'!$BE:$BE),1))</f>
        <v>0</v>
      </c>
      <c r="AY39" s="158">
        <f>IF(OR(AQ39="Declined", AN39&lt;&gt;"Y"),
   0,
   N(AT39)*N('Rating Factors'!$AG$2)/100
)</f>
        <v>0</v>
      </c>
      <c r="AZ39" s="158">
        <f t="shared" si="6"/>
        <v>0</v>
      </c>
      <c r="BA39" s="142">
        <f>_xlfn.LET(
  _xlpm.base_ok, AND(AQ39&lt;&gt;"Declined", N(AQ39)&gt;0),
  _xlpm.is_full, EXACT(AG39, "Full Limit"),
  _xlpm.total_tiv, SUM($AT$8:$AT$127),
  _xlpm.loc_tiv, N(BE39),
  _xlpm.full_rate, N('Rating Factors'!$AO$10),
  _xlpm.min_per_loc, N('Rating Factors'!$AN$10),
  _xlpm.n_locs, N(E36),
  _xlpm.sched_prem, MAX(_xlpm.total_tiv*_xlpm.full_rate, _xlpm.min_per_loc*_xlpm.n_locs),
  _xlpm.alloc_prem, IF(_xlpm.total_tiv=0, 0, _xlpm.sched_prem * _xlpm.loc_tiv / _xlpm.total_tiv),
  _xlpm.cap_prem, IFERROR(VLOOKUP(AG39, 'Rating Factors'!$AM:$AN, 2, FALSE), 0),
  IF(_xlpm.base_ok,
     IF(_xlpm.is_full, _xlpm.alloc_prem, _xlpm.cap_prem),
     0
  )
)</f>
        <v>0</v>
      </c>
      <c r="BB39" s="143">
        <f t="shared" si="0"/>
        <v>0</v>
      </c>
      <c r="BC39" s="144">
        <f t="shared" si="7"/>
        <v>0</v>
      </c>
      <c r="BD39" s="145">
        <f t="shared" si="8"/>
        <v>0</v>
      </c>
      <c r="BE39" s="115">
        <f t="shared" si="1"/>
        <v>0</v>
      </c>
      <c r="BF39" s="106" t="str">
        <f t="shared" si="9"/>
        <v/>
      </c>
      <c r="BG39"/>
      <c r="BI39" s="67" t="str" cm="1">
        <f t="array" ref="BI39">IF(E39="","",LEFT(_xlfn.REGEXEXTRACT(UPPER(E39),"[A-Z][0-9][A-Z][ -]?[0-9][A-Z][0-9]"),3))</f>
        <v/>
      </c>
      <c r="BJ39" s="66" t="str">
        <f>IF(E39="","",_xlfn.XLOOKUP(BI39, CrestaP!B:B, CrestaP!D:D, ""))</f>
        <v/>
      </c>
      <c r="BK39" s="66" t="str">
        <f>IFERROR(
  INDEX(
    CrestaP!H4:M9,
    MATCH(J39, {"Frame","Brick Veneer","Joisted Masonry","Non-Combustible","Masonry Non-Combustible","Fire resistive"}, 0),
    MATCH(TEXT(BJ39,"@"), {"16","E5","E4","E3","E2","E1"}, 0)
  ),
  ""
)</f>
        <v/>
      </c>
    </row>
    <row r="40" spans="2:63" hidden="1" x14ac:dyDescent="0.25">
      <c r="B40"/>
      <c r="C40" s="24">
        <f t="shared" si="10"/>
        <v>33</v>
      </c>
      <c r="D40" s="25" t="s">
        <v>30</v>
      </c>
      <c r="E40" s="175"/>
      <c r="F40" s="89"/>
      <c r="G40" s="89"/>
      <c r="H40" s="104"/>
      <c r="I40" s="104"/>
      <c r="J40" s="89"/>
      <c r="K40" s="89"/>
      <c r="L40" s="89"/>
      <c r="M40" s="89"/>
      <c r="N40" s="89"/>
      <c r="O40" s="89"/>
      <c r="P40" s="104"/>
      <c r="Q40" s="104"/>
      <c r="R40" s="89"/>
      <c r="S40" s="89"/>
      <c r="T40" s="89"/>
      <c r="U40" s="25"/>
      <c r="V40" s="119"/>
      <c r="W40" s="19"/>
      <c r="X40" s="104"/>
      <c r="Y40" s="104"/>
      <c r="Z40" s="104"/>
      <c r="AA40" s="19"/>
      <c r="AB40" s="160" t="str">
        <f>IF(OR(AA40="",G40=""),"",VLOOKUP(G40,'Rating Factors'!$C:$E,3,FALSE)*AA40)</f>
        <v/>
      </c>
      <c r="AC40" s="20"/>
      <c r="AD40" s="20"/>
      <c r="AE40" s="104"/>
      <c r="AF40" s="96"/>
      <c r="AG40" s="20"/>
      <c r="AH40" s="119"/>
      <c r="AI40" s="19"/>
      <c r="AJ40" s="19"/>
      <c r="AK40" s="19"/>
      <c r="AL40" s="96"/>
      <c r="AM40" s="119"/>
      <c r="AN40" s="19"/>
      <c r="AO40" s="20"/>
      <c r="AP40" s="119"/>
      <c r="AQ40" s="115">
        <f t="shared" si="2"/>
        <v>0</v>
      </c>
      <c r="AR40" s="171">
        <f>IF(OR(Z40="",N(Z40)=0),
IF(
N(H40)+N(I40)=0,
0,
MAX(
IFERROR(VLOOKUP(AE40,'Rating Factors'!$BJ:$BK,2,FALSE),0),
((N(H40)*'Rating Factors'!$BF$2)+(N(I40)*'Rating Factors'!$BG$2))
*IFERROR(VLOOKUP(AE40,'Rating Factors'!$Z:$AA,2,FALSE),1)
*IFERROR(VLOOKUP(AJ40,'Rating Factors'!$AD:$AE,2,FALSE),1)
*IFERROR(VLOOKUP(SUM($H$8:$H$127),'Rating Factors'!$BM:$BN,2),1)
*IFERROR(VLOOKUP(SUM($I$8:$I$127),'Rating Factors'!$BH:$BI,2),1)
)
),
MAX(IFERROR(VLOOKUP(AE40,'Rating Factors'!$BJ:$BL,3,FALSE),0),
((N(I40)*'Rating Factors'!$BG$2))
*IFERROR(VLOOKUP(AE40,'Rating Factors'!$Z:$AA,2,FALSE),1)
*IFERROR(VLOOKUP(AJ40,'Rating Factors'!$AD:$AE,2,FALSE),1)
*N(AA40)* IFERROR(VLOOKUP(G40,'Rating Factors'!$C:$D,2,FALSE),1)*0.0045
))</f>
        <v>0</v>
      </c>
      <c r="AS40" s="172">
        <f t="shared" si="3"/>
        <v>0</v>
      </c>
      <c r="AT40" s="115">
        <f t="shared" si="11"/>
        <v>0</v>
      </c>
      <c r="AU40" s="173" t="str">
        <f t="shared" si="4"/>
        <v/>
      </c>
      <c r="AV40" s="174" t="str">
        <f t="shared" si="5"/>
        <v/>
      </c>
      <c r="AW40" s="119"/>
      <c r="AX40" s="141">
        <f>IF(
  OR(
    IFERROR(VLOOKUP(F40,'Rating Factors'!$A:$B,2,FALSE)="Decline",FALSE),
    IFERROR(VLOOKUP(G40,'Rating Factors'!$C:$D,2,FALSE)="Decline",FALSE),
    IFERROR(VLOOKUP(J40,'Rating Factors'!$F:$G,2,FALSE)="Decline",FALSE),
    IFERROR(VLOOKUP(K40,'Rating Factors'!$H:$I,2,FALSE)="Decline",FALSE),
    IFERROR(VLOOKUP(L40,'Rating Factors'!$J:$K,2,FALSE)="Decline",FALSE),
    IFERROR(VLOOKUP(M40,'Rating Factors'!$L:$M,2,FALSE)="Decline",FALSE),
    IFERROR(VLOOKUP(N40,'Rating Factors'!$N:$O,2,FALSE)="Decline",FALSE),
    IFERROR(VLOOKUP(O40,'Rating Factors'!$P:$Q,2,FALSE)="Decline",FALSE),
    IFERROR(VLOOKUP(P40,'Rating Factors'!$BO:$BP,2,FALSE)="Decline",FALSE),
    IFERROR(VLOOKUP(Q40,'Rating Factors'!$BQ:$BR,2,FALSE)="Decline",FALSE),
    IFERROR(VLOOKUP(R40,'Rating Factors'!$R:$S,2,FALSE)="Decline",FALSE),
    IFERROR(VLOOKUP(S40,'Rating Factors'!$T:$U,2,FALSE)="Decline",FALSE),
    IFERROR(VLOOKUP(T40,'Rating Factors'!$V:$W,2,FALSE)="Decline",FALSE),
    IFERROR(VLOOKUP(U40,'Rating Factors'!$X:$Y,2,FALSE)="Decline",FALSE),
    IFERROR(VLOOKUP(AI40,'Rating Factors'!$AB:$AC,2,FALSE)="Decline",FALSE),
    IFERROR(VLOOKUP(AK40,'Rating Factors'!$AK:$AL,2,FALSE)="Decline",FALSE),
    IFERROR(VLOOKUP(AL40,'Rating Factors'!$AP:$AQ,2,FALSE)="Decline",FALSE)
  ),
  "Declined",
  SUM(
    W40,
    X40,
    Y40*
      IFERROR(VLOOKUP(AD40,'Rating Factors'!$BS:$BT,2,FALSE),1),
    Z40*
      IFERROR(VLOOKUP(AD40,'Rating Factors'!$BS:$BT,2,FALSE),1)*
      IFERROR(VLOOKUP(AC40,'Rating Factors'!$BV:$BW,2,FALSE),1),
  )
  * IFERROR(VLOOKUP(F40,'Rating Factors'!$A:$B,2,FALSE),1)
  * IFERROR(VLOOKUP(G40,'Rating Factors'!$C:$D,2,FALSE),1)
  * IFERROR(VLOOKUP(J40,'Rating Factors'!$F:$G,2,FALSE),1)
  * IFERROR(VLOOKUP(K40,'Rating Factors'!$H:$I,2,FALSE),1)
  * IFERROR(VLOOKUP(L40,'Rating Factors'!$J:$K,2,FALSE),1)
  * IFERROR(VLOOKUP(M40,'Rating Factors'!$L:$M,2,FALSE),1)
  * IFERROR(VLOOKUP(N40,'Rating Factors'!$N:$O,2,FALSE),1)
  * IFERROR(VLOOKUP(O40,'Rating Factors'!$P:$Q,2,FALSE),1)
  * IFERROR(VLOOKUP(P40,'Rating Factors'!$BO:$BP,2,FALSE),1)
  * IFERROR(VLOOKUP(Q40,'Rating Factors'!$BQ:$BR,2,FALSE),1)
  * IFERROR(VLOOKUP(R40,'Rating Factors'!$R:$S,2,FALSE),1)
  * IFERROR(VLOOKUP(S40,'Rating Factors'!$T:$U,2,FALSE),1)
  * IFERROR(VLOOKUP(T40,'Rating Factors'!$V:$W,2,FALSE),1)
  * IFERROR(VLOOKUP(U40,'Rating Factors'!$X:$Y,2,FALSE),1)
  * IFERROR(VLOOKUP(AI40,'Rating Factors'!$AB:$AC,2,FALSE),1)
  * IFERROR(VLOOKUP(AK40,'Rating Factors'!$AK:$AL,2,FALSE),1)
  * IFERROR(VLOOKUP(AL40,'Rating Factors'!$AP:$AQ,2,FALSE),1)
  * IFERROR(LOOKUP(SUM($W$8:$Z$127),'Rating Factors'!$BD:$BD,'Rating Factors'!$BE:$BE),1))</f>
        <v>0</v>
      </c>
      <c r="AY40" s="158">
        <f>IF(OR(AQ40="Declined", AN40&lt;&gt;"Y"),
   0,
   N(AT40)*N('Rating Factors'!$AG$2)/100
)</f>
        <v>0</v>
      </c>
      <c r="AZ40" s="158">
        <f t="shared" si="6"/>
        <v>0</v>
      </c>
      <c r="BA40" s="142">
        <f>_xlfn.LET(
  _xlpm.base_ok, AND(AQ40&lt;&gt;"Declined", N(AQ40)&gt;0),
  _xlpm.is_full, EXACT(AG40, "Full Limit"),
  _xlpm.total_tiv, SUM($AT$8:$AT$127),
  _xlpm.loc_tiv, N(BE40),
  _xlpm.full_rate, N('Rating Factors'!$AO$10),
  _xlpm.min_per_loc, N('Rating Factors'!$AN$10),
  _xlpm.n_locs, N(E37),
  _xlpm.sched_prem, MAX(_xlpm.total_tiv*_xlpm.full_rate, _xlpm.min_per_loc*_xlpm.n_locs),
  _xlpm.alloc_prem, IF(_xlpm.total_tiv=0, 0, _xlpm.sched_prem * _xlpm.loc_tiv / _xlpm.total_tiv),
  _xlpm.cap_prem, IFERROR(VLOOKUP(AG40, 'Rating Factors'!$AM:$AN, 2, FALSE), 0),
  IF(_xlpm.base_ok,
     IF(_xlpm.is_full, _xlpm.alloc_prem, _xlpm.cap_prem),
     0
  )
)</f>
        <v>0</v>
      </c>
      <c r="BB40" s="143">
        <f t="shared" ref="BB40:BB71" si="12">SUM(AX40:BA40)</f>
        <v>0</v>
      </c>
      <c r="BC40" s="144">
        <f t="shared" si="7"/>
        <v>0</v>
      </c>
      <c r="BD40" s="145">
        <f t="shared" si="8"/>
        <v>0</v>
      </c>
      <c r="BE40" s="115">
        <f t="shared" ref="BE40:BE71" si="13">AT40</f>
        <v>0</v>
      </c>
      <c r="BF40" s="106" t="str">
        <f t="shared" si="9"/>
        <v/>
      </c>
      <c r="BG40"/>
      <c r="BI40" s="67" t="str" cm="1">
        <f t="array" ref="BI40">IF(E40="","",LEFT(_xlfn.REGEXEXTRACT(UPPER(E40),"[A-Z][0-9][A-Z][ -]?[0-9][A-Z][0-9]"),3))</f>
        <v/>
      </c>
      <c r="BJ40" s="66" t="str">
        <f>IF(E40="","",_xlfn.XLOOKUP(BI40, CrestaP!B:B, CrestaP!D:D, ""))</f>
        <v/>
      </c>
      <c r="BK40" s="66" t="str">
        <f>IFERROR(
  INDEX(
    CrestaP!H4:M9,
    MATCH(J40, {"Frame","Brick Veneer","Joisted Masonry","Non-Combustible","Masonry Non-Combustible","Fire resistive"}, 0),
    MATCH(TEXT(BJ40,"@"), {"16","E5","E4","E3","E2","E1"}, 0)
  ),
  ""
)</f>
        <v/>
      </c>
    </row>
    <row r="41" spans="2:63" hidden="1" x14ac:dyDescent="0.25">
      <c r="B41"/>
      <c r="C41" s="24">
        <f t="shared" si="10"/>
        <v>34</v>
      </c>
      <c r="D41" s="25" t="s">
        <v>30</v>
      </c>
      <c r="E41" s="175"/>
      <c r="F41" s="89"/>
      <c r="G41" s="89"/>
      <c r="H41" s="104"/>
      <c r="I41" s="104"/>
      <c r="J41" s="89"/>
      <c r="K41" s="89"/>
      <c r="L41" s="89"/>
      <c r="M41" s="89"/>
      <c r="N41" s="89"/>
      <c r="O41" s="89"/>
      <c r="P41" s="104"/>
      <c r="Q41" s="104"/>
      <c r="R41" s="89"/>
      <c r="S41" s="89"/>
      <c r="T41" s="89"/>
      <c r="U41" s="25"/>
      <c r="V41" s="119"/>
      <c r="W41" s="19"/>
      <c r="X41" s="104"/>
      <c r="Y41" s="104"/>
      <c r="Z41" s="104"/>
      <c r="AA41" s="19"/>
      <c r="AB41" s="160" t="str">
        <f>IF(OR(AA41="",G41=""),"",VLOOKUP(G41,'Rating Factors'!$C:$E,3,FALSE)*AA41)</f>
        <v/>
      </c>
      <c r="AC41" s="20"/>
      <c r="AD41" s="20"/>
      <c r="AE41" s="104"/>
      <c r="AF41" s="96"/>
      <c r="AG41" s="20"/>
      <c r="AH41" s="119"/>
      <c r="AI41" s="19"/>
      <c r="AJ41" s="19"/>
      <c r="AK41" s="19"/>
      <c r="AL41" s="96"/>
      <c r="AM41" s="119"/>
      <c r="AN41" s="19"/>
      <c r="AO41" s="20"/>
      <c r="AP41" s="119"/>
      <c r="AQ41" s="115">
        <f t="shared" si="2"/>
        <v>0</v>
      </c>
      <c r="AR41" s="171">
        <f>IF(OR(Z41="",N(Z41)=0),
IF(
N(H41)+N(I41)=0,
0,
MAX(
IFERROR(VLOOKUP(AE41,'Rating Factors'!$BJ:$BK,2,FALSE),0),
((N(H41)*'Rating Factors'!$BF$2)+(N(I41)*'Rating Factors'!$BG$2))
*IFERROR(VLOOKUP(AE41,'Rating Factors'!$Z:$AA,2,FALSE),1)
*IFERROR(VLOOKUP(AJ41,'Rating Factors'!$AD:$AE,2,FALSE),1)
*IFERROR(VLOOKUP(SUM($H$8:$H$127),'Rating Factors'!$BM:$BN,2),1)
*IFERROR(VLOOKUP(SUM($I$8:$I$127),'Rating Factors'!$BH:$BI,2),1)
)
),
MAX(IFERROR(VLOOKUP(AE41,'Rating Factors'!$BJ:$BL,3,FALSE),0),
((N(I41)*'Rating Factors'!$BG$2))
*IFERROR(VLOOKUP(AE41,'Rating Factors'!$Z:$AA,2,FALSE),1)
*IFERROR(VLOOKUP(AJ41,'Rating Factors'!$AD:$AE,2,FALSE),1)
*N(AA41)* IFERROR(VLOOKUP(G41,'Rating Factors'!$C:$D,2,FALSE),1)*0.0045
))</f>
        <v>0</v>
      </c>
      <c r="AS41" s="172">
        <f t="shared" si="3"/>
        <v>0</v>
      </c>
      <c r="AT41" s="115">
        <f t="shared" si="11"/>
        <v>0</v>
      </c>
      <c r="AU41" s="173" t="str">
        <f t="shared" si="4"/>
        <v/>
      </c>
      <c r="AV41" s="174" t="str">
        <f t="shared" si="5"/>
        <v/>
      </c>
      <c r="AW41" s="119"/>
      <c r="AX41" s="141">
        <f>IF(
  OR(
    IFERROR(VLOOKUP(F41,'Rating Factors'!$A:$B,2,FALSE)="Decline",FALSE),
    IFERROR(VLOOKUP(G41,'Rating Factors'!$C:$D,2,FALSE)="Decline",FALSE),
    IFERROR(VLOOKUP(J41,'Rating Factors'!$F:$G,2,FALSE)="Decline",FALSE),
    IFERROR(VLOOKUP(K41,'Rating Factors'!$H:$I,2,FALSE)="Decline",FALSE),
    IFERROR(VLOOKUP(L41,'Rating Factors'!$J:$K,2,FALSE)="Decline",FALSE),
    IFERROR(VLOOKUP(M41,'Rating Factors'!$L:$M,2,FALSE)="Decline",FALSE),
    IFERROR(VLOOKUP(N41,'Rating Factors'!$N:$O,2,FALSE)="Decline",FALSE),
    IFERROR(VLOOKUP(O41,'Rating Factors'!$P:$Q,2,FALSE)="Decline",FALSE),
    IFERROR(VLOOKUP(P41,'Rating Factors'!$BO:$BP,2,FALSE)="Decline",FALSE),
    IFERROR(VLOOKUP(Q41,'Rating Factors'!$BQ:$BR,2,FALSE)="Decline",FALSE),
    IFERROR(VLOOKUP(R41,'Rating Factors'!$R:$S,2,FALSE)="Decline",FALSE),
    IFERROR(VLOOKUP(S41,'Rating Factors'!$T:$U,2,FALSE)="Decline",FALSE),
    IFERROR(VLOOKUP(T41,'Rating Factors'!$V:$W,2,FALSE)="Decline",FALSE),
    IFERROR(VLOOKUP(U41,'Rating Factors'!$X:$Y,2,FALSE)="Decline",FALSE),
    IFERROR(VLOOKUP(AI41,'Rating Factors'!$AB:$AC,2,FALSE)="Decline",FALSE),
    IFERROR(VLOOKUP(AK41,'Rating Factors'!$AK:$AL,2,FALSE)="Decline",FALSE),
    IFERROR(VLOOKUP(AL41,'Rating Factors'!$AP:$AQ,2,FALSE)="Decline",FALSE)
  ),
  "Declined",
  SUM(
    W41,
    X41,
    Y41*
      IFERROR(VLOOKUP(AD41,'Rating Factors'!$BS:$BT,2,FALSE),1),
    Z41*
      IFERROR(VLOOKUP(AD41,'Rating Factors'!$BS:$BT,2,FALSE),1)*
      IFERROR(VLOOKUP(AC41,'Rating Factors'!$BV:$BW,2,FALSE),1),
  )
  * IFERROR(VLOOKUP(F41,'Rating Factors'!$A:$B,2,FALSE),1)
  * IFERROR(VLOOKUP(G41,'Rating Factors'!$C:$D,2,FALSE),1)
  * IFERROR(VLOOKUP(J41,'Rating Factors'!$F:$G,2,FALSE),1)
  * IFERROR(VLOOKUP(K41,'Rating Factors'!$H:$I,2,FALSE),1)
  * IFERROR(VLOOKUP(L41,'Rating Factors'!$J:$K,2,FALSE),1)
  * IFERROR(VLOOKUP(M41,'Rating Factors'!$L:$M,2,FALSE),1)
  * IFERROR(VLOOKUP(N41,'Rating Factors'!$N:$O,2,FALSE),1)
  * IFERROR(VLOOKUP(O41,'Rating Factors'!$P:$Q,2,FALSE),1)
  * IFERROR(VLOOKUP(P41,'Rating Factors'!$BO:$BP,2,FALSE),1)
  * IFERROR(VLOOKUP(Q41,'Rating Factors'!$BQ:$BR,2,FALSE),1)
  * IFERROR(VLOOKUP(R41,'Rating Factors'!$R:$S,2,FALSE),1)
  * IFERROR(VLOOKUP(S41,'Rating Factors'!$T:$U,2,FALSE),1)
  * IFERROR(VLOOKUP(T41,'Rating Factors'!$V:$W,2,FALSE),1)
  * IFERROR(VLOOKUP(U41,'Rating Factors'!$X:$Y,2,FALSE),1)
  * IFERROR(VLOOKUP(AI41,'Rating Factors'!$AB:$AC,2,FALSE),1)
  * IFERROR(VLOOKUP(AK41,'Rating Factors'!$AK:$AL,2,FALSE),1)
  * IFERROR(VLOOKUP(AL41,'Rating Factors'!$AP:$AQ,2,FALSE),1)
  * IFERROR(LOOKUP(SUM($W$8:$Z$127),'Rating Factors'!$BD:$BD,'Rating Factors'!$BE:$BE),1))</f>
        <v>0</v>
      </c>
      <c r="AY41" s="158">
        <f>IF(OR(AQ41="Declined", AN41&lt;&gt;"Y"),
   0,
   N(AT41)*N('Rating Factors'!$AG$2)/100
)</f>
        <v>0</v>
      </c>
      <c r="AZ41" s="158">
        <f t="shared" ref="AZ41:AZ72" si="14">IF(OR(AQ41="Declined", AO41&lt;&gt;"Y", E41=""),
   0,
   N(AT41)*N(BK41)/100
)</f>
        <v>0</v>
      </c>
      <c r="BA41" s="142">
        <f>_xlfn.LET(
  _xlpm.base_ok, AND(AQ41&lt;&gt;"Declined", N(AQ41)&gt;0),
  _xlpm.is_full, EXACT(AG41, "Full Limit"),
  _xlpm.total_tiv, SUM($AT$8:$AT$127),
  _xlpm.loc_tiv, N(BE41),
  _xlpm.full_rate, N('Rating Factors'!$AO$10),
  _xlpm.min_per_loc, N('Rating Factors'!$AN$10),
  _xlpm.n_locs, N(E38),
  _xlpm.sched_prem, MAX(_xlpm.total_tiv*_xlpm.full_rate, _xlpm.min_per_loc*_xlpm.n_locs),
  _xlpm.alloc_prem, IF(_xlpm.total_tiv=0, 0, _xlpm.sched_prem * _xlpm.loc_tiv / _xlpm.total_tiv),
  _xlpm.cap_prem, IFERROR(VLOOKUP(AG41, 'Rating Factors'!$AM:$AN, 2, FALSE), 0),
  IF(_xlpm.base_ok,
     IF(_xlpm.is_full, _xlpm.alloc_prem, _xlpm.cap_prem),
     0
  )
)</f>
        <v>0</v>
      </c>
      <c r="BB41" s="143">
        <f t="shared" si="12"/>
        <v>0</v>
      </c>
      <c r="BC41" s="144">
        <f t="shared" si="7"/>
        <v>0</v>
      </c>
      <c r="BD41" s="145">
        <f t="shared" si="8"/>
        <v>0</v>
      </c>
      <c r="BE41" s="115">
        <f t="shared" si="13"/>
        <v>0</v>
      </c>
      <c r="BF41" s="106" t="str">
        <f t="shared" si="9"/>
        <v/>
      </c>
      <c r="BG41"/>
      <c r="BI41" s="67" t="str" cm="1">
        <f t="array" ref="BI41">IF(E41="","",LEFT(_xlfn.REGEXEXTRACT(UPPER(E41),"[A-Z][0-9][A-Z][ -]?[0-9][A-Z][0-9]"),3))</f>
        <v/>
      </c>
      <c r="BJ41" s="66" t="str">
        <f>IF(E41="","",_xlfn.XLOOKUP(BI41, CrestaP!B:B, CrestaP!D:D, ""))</f>
        <v/>
      </c>
      <c r="BK41" s="66" t="str">
        <f>IFERROR(
  INDEX(
    CrestaP!H4:M9,
    MATCH(J41, {"Frame","Brick Veneer","Joisted Masonry","Non-Combustible","Masonry Non-Combustible","Fire resistive"}, 0),
    MATCH(TEXT(BJ41,"@"), {"16","E5","E4","E3","E2","E1"}, 0)
  ),
  ""
)</f>
        <v/>
      </c>
    </row>
    <row r="42" spans="2:63" hidden="1" x14ac:dyDescent="0.25">
      <c r="B42"/>
      <c r="C42" s="24">
        <f t="shared" si="10"/>
        <v>35</v>
      </c>
      <c r="D42" s="25" t="s">
        <v>30</v>
      </c>
      <c r="E42" s="175"/>
      <c r="F42" s="89"/>
      <c r="G42" s="89"/>
      <c r="H42" s="104"/>
      <c r="I42" s="104"/>
      <c r="J42" s="89"/>
      <c r="K42" s="89"/>
      <c r="L42" s="89"/>
      <c r="M42" s="89"/>
      <c r="N42" s="89"/>
      <c r="O42" s="89"/>
      <c r="P42" s="104"/>
      <c r="Q42" s="104"/>
      <c r="R42" s="89"/>
      <c r="S42" s="89"/>
      <c r="T42" s="89"/>
      <c r="U42" s="25"/>
      <c r="V42" s="119"/>
      <c r="W42" s="19"/>
      <c r="X42" s="104"/>
      <c r="Y42" s="104"/>
      <c r="Z42" s="104"/>
      <c r="AA42" s="19"/>
      <c r="AB42" s="160" t="str">
        <f>IF(OR(AA42="",G42=""),"",VLOOKUP(G42,'Rating Factors'!$C:$E,3,FALSE)*AA42)</f>
        <v/>
      </c>
      <c r="AC42" s="20"/>
      <c r="AD42" s="20"/>
      <c r="AE42" s="104"/>
      <c r="AF42" s="96"/>
      <c r="AG42" s="20"/>
      <c r="AH42" s="119"/>
      <c r="AI42" s="19"/>
      <c r="AJ42" s="19"/>
      <c r="AK42" s="19"/>
      <c r="AL42" s="96"/>
      <c r="AM42" s="119"/>
      <c r="AN42" s="19"/>
      <c r="AO42" s="20"/>
      <c r="AP42" s="119"/>
      <c r="AQ42" s="115">
        <f t="shared" si="2"/>
        <v>0</v>
      </c>
      <c r="AR42" s="171">
        <f>IF(OR(Z42="",N(Z42)=0),
IF(
N(H42)+N(I42)=0,
0,
MAX(
IFERROR(VLOOKUP(AE42,'Rating Factors'!$BJ:$BK,2,FALSE),0),
((N(H42)*'Rating Factors'!$BF$2)+(N(I42)*'Rating Factors'!$BG$2))
*IFERROR(VLOOKUP(AE42,'Rating Factors'!$Z:$AA,2,FALSE),1)
*IFERROR(VLOOKUP(AJ42,'Rating Factors'!$AD:$AE,2,FALSE),1)
*IFERROR(VLOOKUP(SUM($H$8:$H$127),'Rating Factors'!$BM:$BN,2),1)
*IFERROR(VLOOKUP(SUM($I$8:$I$127),'Rating Factors'!$BH:$BI,2),1)
)
),
MAX(IFERROR(VLOOKUP(AE42,'Rating Factors'!$BJ:$BL,3,FALSE),0),
((N(I42)*'Rating Factors'!$BG$2))
*IFERROR(VLOOKUP(AE42,'Rating Factors'!$Z:$AA,2,FALSE),1)
*IFERROR(VLOOKUP(AJ42,'Rating Factors'!$AD:$AE,2,FALSE),1)
*N(AA42)* IFERROR(VLOOKUP(G42,'Rating Factors'!$C:$D,2,FALSE),1)*0.0045
))</f>
        <v>0</v>
      </c>
      <c r="AS42" s="172">
        <f t="shared" si="3"/>
        <v>0</v>
      </c>
      <c r="AT42" s="115">
        <f t="shared" si="11"/>
        <v>0</v>
      </c>
      <c r="AU42" s="173" t="str">
        <f t="shared" si="4"/>
        <v/>
      </c>
      <c r="AV42" s="174" t="str">
        <f t="shared" si="5"/>
        <v/>
      </c>
      <c r="AW42" s="119"/>
      <c r="AX42" s="141">
        <f>IF(
  OR(
    IFERROR(VLOOKUP(F42,'Rating Factors'!$A:$B,2,FALSE)="Decline",FALSE),
    IFERROR(VLOOKUP(G42,'Rating Factors'!$C:$D,2,FALSE)="Decline",FALSE),
    IFERROR(VLOOKUP(J42,'Rating Factors'!$F:$G,2,FALSE)="Decline",FALSE),
    IFERROR(VLOOKUP(K42,'Rating Factors'!$H:$I,2,FALSE)="Decline",FALSE),
    IFERROR(VLOOKUP(L42,'Rating Factors'!$J:$K,2,FALSE)="Decline",FALSE),
    IFERROR(VLOOKUP(M42,'Rating Factors'!$L:$M,2,FALSE)="Decline",FALSE),
    IFERROR(VLOOKUP(N42,'Rating Factors'!$N:$O,2,FALSE)="Decline",FALSE),
    IFERROR(VLOOKUP(O42,'Rating Factors'!$P:$Q,2,FALSE)="Decline",FALSE),
    IFERROR(VLOOKUP(P42,'Rating Factors'!$BO:$BP,2,FALSE)="Decline",FALSE),
    IFERROR(VLOOKUP(Q42,'Rating Factors'!$BQ:$BR,2,FALSE)="Decline",FALSE),
    IFERROR(VLOOKUP(R42,'Rating Factors'!$R:$S,2,FALSE)="Decline",FALSE),
    IFERROR(VLOOKUP(S42,'Rating Factors'!$T:$U,2,FALSE)="Decline",FALSE),
    IFERROR(VLOOKUP(T42,'Rating Factors'!$V:$W,2,FALSE)="Decline",FALSE),
    IFERROR(VLOOKUP(U42,'Rating Factors'!$X:$Y,2,FALSE)="Decline",FALSE),
    IFERROR(VLOOKUP(AI42,'Rating Factors'!$AB:$AC,2,FALSE)="Decline",FALSE),
    IFERROR(VLOOKUP(AK42,'Rating Factors'!$AK:$AL,2,FALSE)="Decline",FALSE),
    IFERROR(VLOOKUP(AL42,'Rating Factors'!$AP:$AQ,2,FALSE)="Decline",FALSE)
  ),
  "Declined",
  SUM(
    W42,
    X42,
    Y42*
      IFERROR(VLOOKUP(AD42,'Rating Factors'!$BS:$BT,2,FALSE),1),
    Z42*
      IFERROR(VLOOKUP(AD42,'Rating Factors'!$BS:$BT,2,FALSE),1)*
      IFERROR(VLOOKUP(AC42,'Rating Factors'!$BV:$BW,2,FALSE),1),
  )
  * IFERROR(VLOOKUP(F42,'Rating Factors'!$A:$B,2,FALSE),1)
  * IFERROR(VLOOKUP(G42,'Rating Factors'!$C:$D,2,FALSE),1)
  * IFERROR(VLOOKUP(J42,'Rating Factors'!$F:$G,2,FALSE),1)
  * IFERROR(VLOOKUP(K42,'Rating Factors'!$H:$I,2,FALSE),1)
  * IFERROR(VLOOKUP(L42,'Rating Factors'!$J:$K,2,FALSE),1)
  * IFERROR(VLOOKUP(M42,'Rating Factors'!$L:$M,2,FALSE),1)
  * IFERROR(VLOOKUP(N42,'Rating Factors'!$N:$O,2,FALSE),1)
  * IFERROR(VLOOKUP(O42,'Rating Factors'!$P:$Q,2,FALSE),1)
  * IFERROR(VLOOKUP(P42,'Rating Factors'!$BO:$BP,2,FALSE),1)
  * IFERROR(VLOOKUP(Q42,'Rating Factors'!$BQ:$BR,2,FALSE),1)
  * IFERROR(VLOOKUP(R42,'Rating Factors'!$R:$S,2,FALSE),1)
  * IFERROR(VLOOKUP(S42,'Rating Factors'!$T:$U,2,FALSE),1)
  * IFERROR(VLOOKUP(T42,'Rating Factors'!$V:$W,2,FALSE),1)
  * IFERROR(VLOOKUP(U42,'Rating Factors'!$X:$Y,2,FALSE),1)
  * IFERROR(VLOOKUP(AI42,'Rating Factors'!$AB:$AC,2,FALSE),1)
  * IFERROR(VLOOKUP(AK42,'Rating Factors'!$AK:$AL,2,FALSE),1)
  * IFERROR(VLOOKUP(AL42,'Rating Factors'!$AP:$AQ,2,FALSE),1)
  * IFERROR(LOOKUP(SUM($W$8:$Z$127),'Rating Factors'!$BD:$BD,'Rating Factors'!$BE:$BE),1))</f>
        <v>0</v>
      </c>
      <c r="AY42" s="158">
        <f>IF(OR(AQ42="Declined", AN42&lt;&gt;"Y"),
   0,
   N(AT42)*N('Rating Factors'!$AG$2)/100
)</f>
        <v>0</v>
      </c>
      <c r="AZ42" s="158">
        <f t="shared" si="14"/>
        <v>0</v>
      </c>
      <c r="BA42" s="142">
        <f>_xlfn.LET(
  _xlpm.base_ok, AND(AQ42&lt;&gt;"Declined", N(AQ42)&gt;0),
  _xlpm.is_full, EXACT(AG42, "Full Limit"),
  _xlpm.total_tiv, SUM($AT$8:$AT$127),
  _xlpm.loc_tiv, N(BE42),
  _xlpm.full_rate, N('Rating Factors'!$AO$10),
  _xlpm.min_per_loc, N('Rating Factors'!$AN$10),
  _xlpm.n_locs, N(E39),
  _xlpm.sched_prem, MAX(_xlpm.total_tiv*_xlpm.full_rate, _xlpm.min_per_loc*_xlpm.n_locs),
  _xlpm.alloc_prem, IF(_xlpm.total_tiv=0, 0, _xlpm.sched_prem * _xlpm.loc_tiv / _xlpm.total_tiv),
  _xlpm.cap_prem, IFERROR(VLOOKUP(AG42, 'Rating Factors'!$AM:$AN, 2, FALSE), 0),
  IF(_xlpm.base_ok,
     IF(_xlpm.is_full, _xlpm.alloc_prem, _xlpm.cap_prem),
     0
  )
)</f>
        <v>0</v>
      </c>
      <c r="BB42" s="143">
        <f t="shared" si="12"/>
        <v>0</v>
      </c>
      <c r="BC42" s="144">
        <f t="shared" si="7"/>
        <v>0</v>
      </c>
      <c r="BD42" s="145">
        <f t="shared" si="8"/>
        <v>0</v>
      </c>
      <c r="BE42" s="115">
        <f t="shared" si="13"/>
        <v>0</v>
      </c>
      <c r="BF42" s="106" t="str">
        <f t="shared" si="9"/>
        <v/>
      </c>
      <c r="BG42"/>
      <c r="BI42" s="67" t="str" cm="1">
        <f t="array" ref="BI42">IF(E42="","",LEFT(_xlfn.REGEXEXTRACT(UPPER(E42),"[A-Z][0-9][A-Z][ -]?[0-9][A-Z][0-9]"),3))</f>
        <v/>
      </c>
      <c r="BJ42" s="66" t="str">
        <f>IF(E42="","",_xlfn.XLOOKUP(BI42, CrestaP!B:B, CrestaP!D:D, ""))</f>
        <v/>
      </c>
      <c r="BK42" s="66" t="str">
        <f>IFERROR(
  INDEX(
    CrestaP!H4:M9,
    MATCH(J42, {"Frame","Brick Veneer","Joisted Masonry","Non-Combustible","Masonry Non-Combustible","Fire resistive"}, 0),
    MATCH(TEXT(BJ42,"@"), {"16","E5","E4","E3","E2","E1"}, 0)
  ),
  ""
)</f>
        <v/>
      </c>
    </row>
    <row r="43" spans="2:63" hidden="1" x14ac:dyDescent="0.25">
      <c r="B43"/>
      <c r="C43" s="24">
        <f t="shared" si="10"/>
        <v>36</v>
      </c>
      <c r="D43" s="25" t="s">
        <v>30</v>
      </c>
      <c r="E43" s="175"/>
      <c r="F43" s="89"/>
      <c r="G43" s="89"/>
      <c r="H43" s="104"/>
      <c r="I43" s="104"/>
      <c r="J43" s="89"/>
      <c r="K43" s="89"/>
      <c r="L43" s="89"/>
      <c r="M43" s="89"/>
      <c r="N43" s="89"/>
      <c r="O43" s="89"/>
      <c r="P43" s="104"/>
      <c r="Q43" s="104"/>
      <c r="R43" s="89"/>
      <c r="S43" s="89"/>
      <c r="T43" s="89"/>
      <c r="U43" s="25"/>
      <c r="V43" s="119"/>
      <c r="W43" s="19"/>
      <c r="X43" s="104"/>
      <c r="Y43" s="104"/>
      <c r="Z43" s="104"/>
      <c r="AA43" s="19"/>
      <c r="AB43" s="160" t="str">
        <f>IF(OR(AA43="",G43=""),"",VLOOKUP(G43,'Rating Factors'!$C:$E,3,FALSE)*AA43)</f>
        <v/>
      </c>
      <c r="AC43" s="20"/>
      <c r="AD43" s="20"/>
      <c r="AE43" s="104"/>
      <c r="AF43" s="96"/>
      <c r="AG43" s="20"/>
      <c r="AH43" s="119"/>
      <c r="AI43" s="19"/>
      <c r="AJ43" s="19"/>
      <c r="AK43" s="19"/>
      <c r="AL43" s="96"/>
      <c r="AM43" s="119"/>
      <c r="AN43" s="19"/>
      <c r="AO43" s="20"/>
      <c r="AP43" s="119"/>
      <c r="AQ43" s="115">
        <f t="shared" si="2"/>
        <v>0</v>
      </c>
      <c r="AR43" s="171">
        <f>IF(OR(Z43="",N(Z43)=0),
IF(
N(H43)+N(I43)=0,
0,
MAX(
IFERROR(VLOOKUP(AE43,'Rating Factors'!$BJ:$BK,2,FALSE),0),
((N(H43)*'Rating Factors'!$BF$2)+(N(I43)*'Rating Factors'!$BG$2))
*IFERROR(VLOOKUP(AE43,'Rating Factors'!$Z:$AA,2,FALSE),1)
*IFERROR(VLOOKUP(AJ43,'Rating Factors'!$AD:$AE,2,FALSE),1)
*IFERROR(VLOOKUP(SUM($H$8:$H$127),'Rating Factors'!$BM:$BN,2),1)
*IFERROR(VLOOKUP(SUM($I$8:$I$127),'Rating Factors'!$BH:$BI,2),1)
)
),
MAX(IFERROR(VLOOKUP(AE43,'Rating Factors'!$BJ:$BL,3,FALSE),0),
((N(I43)*'Rating Factors'!$BG$2))
*IFERROR(VLOOKUP(AE43,'Rating Factors'!$Z:$AA,2,FALSE),1)
*IFERROR(VLOOKUP(AJ43,'Rating Factors'!$AD:$AE,2,FALSE),1)
*N(AA43)* IFERROR(VLOOKUP(G43,'Rating Factors'!$C:$D,2,FALSE),1)*0.0045
))</f>
        <v>0</v>
      </c>
      <c r="AS43" s="172">
        <f t="shared" si="3"/>
        <v>0</v>
      </c>
      <c r="AT43" s="115">
        <f t="shared" si="11"/>
        <v>0</v>
      </c>
      <c r="AU43" s="173" t="str">
        <f t="shared" si="4"/>
        <v/>
      </c>
      <c r="AV43" s="174" t="str">
        <f t="shared" si="5"/>
        <v/>
      </c>
      <c r="AW43" s="119"/>
      <c r="AX43" s="141">
        <f>IF(
  OR(
    IFERROR(VLOOKUP(F43,'Rating Factors'!$A:$B,2,FALSE)="Decline",FALSE),
    IFERROR(VLOOKUP(G43,'Rating Factors'!$C:$D,2,FALSE)="Decline",FALSE),
    IFERROR(VLOOKUP(J43,'Rating Factors'!$F:$G,2,FALSE)="Decline",FALSE),
    IFERROR(VLOOKUP(K43,'Rating Factors'!$H:$I,2,FALSE)="Decline",FALSE),
    IFERROR(VLOOKUP(L43,'Rating Factors'!$J:$K,2,FALSE)="Decline",FALSE),
    IFERROR(VLOOKUP(M43,'Rating Factors'!$L:$M,2,FALSE)="Decline",FALSE),
    IFERROR(VLOOKUP(N43,'Rating Factors'!$N:$O,2,FALSE)="Decline",FALSE),
    IFERROR(VLOOKUP(O43,'Rating Factors'!$P:$Q,2,FALSE)="Decline",FALSE),
    IFERROR(VLOOKUP(P43,'Rating Factors'!$BO:$BP,2,FALSE)="Decline",FALSE),
    IFERROR(VLOOKUP(Q43,'Rating Factors'!$BQ:$BR,2,FALSE)="Decline",FALSE),
    IFERROR(VLOOKUP(R43,'Rating Factors'!$R:$S,2,FALSE)="Decline",FALSE),
    IFERROR(VLOOKUP(S43,'Rating Factors'!$T:$U,2,FALSE)="Decline",FALSE),
    IFERROR(VLOOKUP(T43,'Rating Factors'!$V:$W,2,FALSE)="Decline",FALSE),
    IFERROR(VLOOKUP(U43,'Rating Factors'!$X:$Y,2,FALSE)="Decline",FALSE),
    IFERROR(VLOOKUP(AI43,'Rating Factors'!$AB:$AC,2,FALSE)="Decline",FALSE),
    IFERROR(VLOOKUP(AK43,'Rating Factors'!$AK:$AL,2,FALSE)="Decline",FALSE),
    IFERROR(VLOOKUP(AL43,'Rating Factors'!$AP:$AQ,2,FALSE)="Decline",FALSE)
  ),
  "Declined",
  SUM(
    W43,
    X43,
    Y43*
      IFERROR(VLOOKUP(AD43,'Rating Factors'!$BS:$BT,2,FALSE),1),
    Z43*
      IFERROR(VLOOKUP(AD43,'Rating Factors'!$BS:$BT,2,FALSE),1)*
      IFERROR(VLOOKUP(AC43,'Rating Factors'!$BV:$BW,2,FALSE),1),
  )
  * IFERROR(VLOOKUP(F43,'Rating Factors'!$A:$B,2,FALSE),1)
  * IFERROR(VLOOKUP(G43,'Rating Factors'!$C:$D,2,FALSE),1)
  * IFERROR(VLOOKUP(J43,'Rating Factors'!$F:$G,2,FALSE),1)
  * IFERROR(VLOOKUP(K43,'Rating Factors'!$H:$I,2,FALSE),1)
  * IFERROR(VLOOKUP(L43,'Rating Factors'!$J:$K,2,FALSE),1)
  * IFERROR(VLOOKUP(M43,'Rating Factors'!$L:$M,2,FALSE),1)
  * IFERROR(VLOOKUP(N43,'Rating Factors'!$N:$O,2,FALSE),1)
  * IFERROR(VLOOKUP(O43,'Rating Factors'!$P:$Q,2,FALSE),1)
  * IFERROR(VLOOKUP(P43,'Rating Factors'!$BO:$BP,2,FALSE),1)
  * IFERROR(VLOOKUP(Q43,'Rating Factors'!$BQ:$BR,2,FALSE),1)
  * IFERROR(VLOOKUP(R43,'Rating Factors'!$R:$S,2,FALSE),1)
  * IFERROR(VLOOKUP(S43,'Rating Factors'!$T:$U,2,FALSE),1)
  * IFERROR(VLOOKUP(T43,'Rating Factors'!$V:$W,2,FALSE),1)
  * IFERROR(VLOOKUP(U43,'Rating Factors'!$X:$Y,2,FALSE),1)
  * IFERROR(VLOOKUP(AI43,'Rating Factors'!$AB:$AC,2,FALSE),1)
  * IFERROR(VLOOKUP(AK43,'Rating Factors'!$AK:$AL,2,FALSE),1)
  * IFERROR(VLOOKUP(AL43,'Rating Factors'!$AP:$AQ,2,FALSE),1)
  * IFERROR(LOOKUP(SUM($W$8:$Z$127),'Rating Factors'!$BD:$BD,'Rating Factors'!$BE:$BE),1))</f>
        <v>0</v>
      </c>
      <c r="AY43" s="158">
        <f>IF(OR(AQ43="Declined", AN43&lt;&gt;"Y"),
   0,
   N(AT43)*N('Rating Factors'!$AG$2)/100
)</f>
        <v>0</v>
      </c>
      <c r="AZ43" s="158">
        <f t="shared" si="14"/>
        <v>0</v>
      </c>
      <c r="BA43" s="142">
        <f>_xlfn.LET(
  _xlpm.base_ok, AND(AQ43&lt;&gt;"Declined", N(AQ43)&gt;0),
  _xlpm.is_full, EXACT(AG43, "Full Limit"),
  _xlpm.total_tiv, SUM($AT$8:$AT$127),
  _xlpm.loc_tiv, N(BE43),
  _xlpm.full_rate, N('Rating Factors'!$AO$10),
  _xlpm.min_per_loc, N('Rating Factors'!$AN$10),
  _xlpm.n_locs, N(E40),
  _xlpm.sched_prem, MAX(_xlpm.total_tiv*_xlpm.full_rate, _xlpm.min_per_loc*_xlpm.n_locs),
  _xlpm.alloc_prem, IF(_xlpm.total_tiv=0, 0, _xlpm.sched_prem * _xlpm.loc_tiv / _xlpm.total_tiv),
  _xlpm.cap_prem, IFERROR(VLOOKUP(AG43, 'Rating Factors'!$AM:$AN, 2, FALSE), 0),
  IF(_xlpm.base_ok,
     IF(_xlpm.is_full, _xlpm.alloc_prem, _xlpm.cap_prem),
     0
  )
)</f>
        <v>0</v>
      </c>
      <c r="BB43" s="143">
        <f t="shared" si="12"/>
        <v>0</v>
      </c>
      <c r="BC43" s="144">
        <f t="shared" si="7"/>
        <v>0</v>
      </c>
      <c r="BD43" s="145">
        <f t="shared" si="8"/>
        <v>0</v>
      </c>
      <c r="BE43" s="115">
        <f t="shared" si="13"/>
        <v>0</v>
      </c>
      <c r="BF43" s="106" t="str">
        <f t="shared" si="9"/>
        <v/>
      </c>
      <c r="BG43"/>
      <c r="BI43" s="67" t="str" cm="1">
        <f t="array" ref="BI43">IF(E43="","",LEFT(_xlfn.REGEXEXTRACT(UPPER(E43),"[A-Z][0-9][A-Z][ -]?[0-9][A-Z][0-9]"),3))</f>
        <v/>
      </c>
      <c r="BJ43" s="66" t="str">
        <f>IF(E43="","",_xlfn.XLOOKUP(BI43, CrestaP!B:B, CrestaP!D:D, ""))</f>
        <v/>
      </c>
      <c r="BK43" s="66" t="str">
        <f>IFERROR(
  INDEX(
    CrestaP!H4:M9,
    MATCH(J43, {"Frame","Brick Veneer","Joisted Masonry","Non-Combustible","Masonry Non-Combustible","Fire resistive"}, 0),
    MATCH(TEXT(BJ43,"@"), {"16","E5","E4","E3","E2","E1"}, 0)
  ),
  ""
)</f>
        <v/>
      </c>
    </row>
    <row r="44" spans="2:63" hidden="1" x14ac:dyDescent="0.25">
      <c r="B44"/>
      <c r="C44" s="24">
        <f t="shared" si="10"/>
        <v>37</v>
      </c>
      <c r="D44" s="25" t="s">
        <v>30</v>
      </c>
      <c r="E44" s="175"/>
      <c r="F44" s="89"/>
      <c r="G44" s="89"/>
      <c r="H44" s="104"/>
      <c r="I44" s="104"/>
      <c r="J44" s="89"/>
      <c r="K44" s="89"/>
      <c r="L44" s="89"/>
      <c r="M44" s="89"/>
      <c r="N44" s="89"/>
      <c r="O44" s="89"/>
      <c r="P44" s="104"/>
      <c r="Q44" s="104"/>
      <c r="R44" s="89"/>
      <c r="S44" s="89"/>
      <c r="T44" s="89"/>
      <c r="U44" s="25"/>
      <c r="V44" s="119"/>
      <c r="W44" s="19"/>
      <c r="X44" s="104"/>
      <c r="Y44" s="104"/>
      <c r="Z44" s="104"/>
      <c r="AA44" s="19"/>
      <c r="AB44" s="160" t="str">
        <f>IF(OR(AA44="",G44=""),"",VLOOKUP(G44,'Rating Factors'!$C:$E,3,FALSE)*AA44)</f>
        <v/>
      </c>
      <c r="AC44" s="20"/>
      <c r="AD44" s="20"/>
      <c r="AE44" s="104"/>
      <c r="AF44" s="96"/>
      <c r="AG44" s="20"/>
      <c r="AH44" s="119"/>
      <c r="AI44" s="19"/>
      <c r="AJ44" s="19"/>
      <c r="AK44" s="19"/>
      <c r="AL44" s="96"/>
      <c r="AM44" s="119"/>
      <c r="AN44" s="19"/>
      <c r="AO44" s="20"/>
      <c r="AP44" s="119"/>
      <c r="AQ44" s="115">
        <f t="shared" si="2"/>
        <v>0</v>
      </c>
      <c r="AR44" s="171">
        <f>IF(OR(Z44="",N(Z44)=0),
IF(
N(H44)+N(I44)=0,
0,
MAX(
IFERROR(VLOOKUP(AE44,'Rating Factors'!$BJ:$BK,2,FALSE),0),
((N(H44)*'Rating Factors'!$BF$2)+(N(I44)*'Rating Factors'!$BG$2))
*IFERROR(VLOOKUP(AE44,'Rating Factors'!$Z:$AA,2,FALSE),1)
*IFERROR(VLOOKUP(AJ44,'Rating Factors'!$AD:$AE,2,FALSE),1)
*IFERROR(VLOOKUP(SUM($H$8:$H$127),'Rating Factors'!$BM:$BN,2),1)
*IFERROR(VLOOKUP(SUM($I$8:$I$127),'Rating Factors'!$BH:$BI,2),1)
)
),
MAX(IFERROR(VLOOKUP(AE44,'Rating Factors'!$BJ:$BL,3,FALSE),0),
((N(I44)*'Rating Factors'!$BG$2))
*IFERROR(VLOOKUP(AE44,'Rating Factors'!$Z:$AA,2,FALSE),1)
*IFERROR(VLOOKUP(AJ44,'Rating Factors'!$AD:$AE,2,FALSE),1)
*N(AA44)* IFERROR(VLOOKUP(G44,'Rating Factors'!$C:$D,2,FALSE),1)*0.0045
))</f>
        <v>0</v>
      </c>
      <c r="AS44" s="172">
        <f t="shared" si="3"/>
        <v>0</v>
      </c>
      <c r="AT44" s="115">
        <f t="shared" si="11"/>
        <v>0</v>
      </c>
      <c r="AU44" s="173" t="str">
        <f t="shared" si="4"/>
        <v/>
      </c>
      <c r="AV44" s="174" t="str">
        <f t="shared" si="5"/>
        <v/>
      </c>
      <c r="AW44" s="119"/>
      <c r="AX44" s="141">
        <f>IF(
  OR(
    IFERROR(VLOOKUP(F44,'Rating Factors'!$A:$B,2,FALSE)="Decline",FALSE),
    IFERROR(VLOOKUP(G44,'Rating Factors'!$C:$D,2,FALSE)="Decline",FALSE),
    IFERROR(VLOOKUP(J44,'Rating Factors'!$F:$G,2,FALSE)="Decline",FALSE),
    IFERROR(VLOOKUP(K44,'Rating Factors'!$H:$I,2,FALSE)="Decline",FALSE),
    IFERROR(VLOOKUP(L44,'Rating Factors'!$J:$K,2,FALSE)="Decline",FALSE),
    IFERROR(VLOOKUP(M44,'Rating Factors'!$L:$M,2,FALSE)="Decline",FALSE),
    IFERROR(VLOOKUP(N44,'Rating Factors'!$N:$O,2,FALSE)="Decline",FALSE),
    IFERROR(VLOOKUP(O44,'Rating Factors'!$P:$Q,2,FALSE)="Decline",FALSE),
    IFERROR(VLOOKUP(P44,'Rating Factors'!$BO:$BP,2,FALSE)="Decline",FALSE),
    IFERROR(VLOOKUP(Q44,'Rating Factors'!$BQ:$BR,2,FALSE)="Decline",FALSE),
    IFERROR(VLOOKUP(R44,'Rating Factors'!$R:$S,2,FALSE)="Decline",FALSE),
    IFERROR(VLOOKUP(S44,'Rating Factors'!$T:$U,2,FALSE)="Decline",FALSE),
    IFERROR(VLOOKUP(T44,'Rating Factors'!$V:$W,2,FALSE)="Decline",FALSE),
    IFERROR(VLOOKUP(U44,'Rating Factors'!$X:$Y,2,FALSE)="Decline",FALSE),
    IFERROR(VLOOKUP(AI44,'Rating Factors'!$AB:$AC,2,FALSE)="Decline",FALSE),
    IFERROR(VLOOKUP(AK44,'Rating Factors'!$AK:$AL,2,FALSE)="Decline",FALSE),
    IFERROR(VLOOKUP(AL44,'Rating Factors'!$AP:$AQ,2,FALSE)="Decline",FALSE)
  ),
  "Declined",
  SUM(
    W44,
    X44,
    Y44*
      IFERROR(VLOOKUP(AD44,'Rating Factors'!$BS:$BT,2,FALSE),1),
    Z44*
      IFERROR(VLOOKUP(AD44,'Rating Factors'!$BS:$BT,2,FALSE),1)*
      IFERROR(VLOOKUP(AC44,'Rating Factors'!$BV:$BW,2,FALSE),1),
  )
  * IFERROR(VLOOKUP(F44,'Rating Factors'!$A:$B,2,FALSE),1)
  * IFERROR(VLOOKUP(G44,'Rating Factors'!$C:$D,2,FALSE),1)
  * IFERROR(VLOOKUP(J44,'Rating Factors'!$F:$G,2,FALSE),1)
  * IFERROR(VLOOKUP(K44,'Rating Factors'!$H:$I,2,FALSE),1)
  * IFERROR(VLOOKUP(L44,'Rating Factors'!$J:$K,2,FALSE),1)
  * IFERROR(VLOOKUP(M44,'Rating Factors'!$L:$M,2,FALSE),1)
  * IFERROR(VLOOKUP(N44,'Rating Factors'!$N:$O,2,FALSE),1)
  * IFERROR(VLOOKUP(O44,'Rating Factors'!$P:$Q,2,FALSE),1)
  * IFERROR(VLOOKUP(P44,'Rating Factors'!$BO:$BP,2,FALSE),1)
  * IFERROR(VLOOKUP(Q44,'Rating Factors'!$BQ:$BR,2,FALSE),1)
  * IFERROR(VLOOKUP(R44,'Rating Factors'!$R:$S,2,FALSE),1)
  * IFERROR(VLOOKUP(S44,'Rating Factors'!$T:$U,2,FALSE),1)
  * IFERROR(VLOOKUP(T44,'Rating Factors'!$V:$W,2,FALSE),1)
  * IFERROR(VLOOKUP(U44,'Rating Factors'!$X:$Y,2,FALSE),1)
  * IFERROR(VLOOKUP(AI44,'Rating Factors'!$AB:$AC,2,FALSE),1)
  * IFERROR(VLOOKUP(AK44,'Rating Factors'!$AK:$AL,2,FALSE),1)
  * IFERROR(VLOOKUP(AL44,'Rating Factors'!$AP:$AQ,2,FALSE),1)
  * IFERROR(LOOKUP(SUM($W$8:$Z$127),'Rating Factors'!$BD:$BD,'Rating Factors'!$BE:$BE),1))</f>
        <v>0</v>
      </c>
      <c r="AY44" s="158">
        <f>IF(OR(AQ44="Declined", AN44&lt;&gt;"Y"),
   0,
   N(AT44)*N('Rating Factors'!$AG$2)/100
)</f>
        <v>0</v>
      </c>
      <c r="AZ44" s="158">
        <f t="shared" si="14"/>
        <v>0</v>
      </c>
      <c r="BA44" s="142">
        <f>_xlfn.LET(
  _xlpm.base_ok, AND(AQ44&lt;&gt;"Declined", N(AQ44)&gt;0),
  _xlpm.is_full, EXACT(AG44, "Full Limit"),
  _xlpm.total_tiv, SUM($AT$8:$AT$127),
  _xlpm.loc_tiv, N(BE44),
  _xlpm.full_rate, N('Rating Factors'!$AO$10),
  _xlpm.min_per_loc, N('Rating Factors'!$AN$10),
  _xlpm.n_locs, N(E41),
  _xlpm.sched_prem, MAX(_xlpm.total_tiv*_xlpm.full_rate, _xlpm.min_per_loc*_xlpm.n_locs),
  _xlpm.alloc_prem, IF(_xlpm.total_tiv=0, 0, _xlpm.sched_prem * _xlpm.loc_tiv / _xlpm.total_tiv),
  _xlpm.cap_prem, IFERROR(VLOOKUP(AG44, 'Rating Factors'!$AM:$AN, 2, FALSE), 0),
  IF(_xlpm.base_ok,
     IF(_xlpm.is_full, _xlpm.alloc_prem, _xlpm.cap_prem),
     0
  )
)</f>
        <v>0</v>
      </c>
      <c r="BB44" s="143">
        <f t="shared" si="12"/>
        <v>0</v>
      </c>
      <c r="BC44" s="144">
        <f t="shared" si="7"/>
        <v>0</v>
      </c>
      <c r="BD44" s="145">
        <f t="shared" si="8"/>
        <v>0</v>
      </c>
      <c r="BE44" s="115">
        <f t="shared" si="13"/>
        <v>0</v>
      </c>
      <c r="BF44" s="106" t="str">
        <f t="shared" si="9"/>
        <v/>
      </c>
      <c r="BG44"/>
      <c r="BI44" s="67" t="str" cm="1">
        <f t="array" ref="BI44">IF(E44="","",LEFT(_xlfn.REGEXEXTRACT(UPPER(E44),"[A-Z][0-9][A-Z][ -]?[0-9][A-Z][0-9]"),3))</f>
        <v/>
      </c>
      <c r="BJ44" s="66" t="str">
        <f>IF(E44="","",_xlfn.XLOOKUP(BI44, CrestaP!B:B, CrestaP!D:D, ""))</f>
        <v/>
      </c>
      <c r="BK44" s="66" t="str">
        <f>IFERROR(
  INDEX(
    CrestaP!H4:M9,
    MATCH(J44, {"Frame","Brick Veneer","Joisted Masonry","Non-Combustible","Masonry Non-Combustible","Fire resistive"}, 0),
    MATCH(TEXT(BJ44,"@"), {"16","E5","E4","E3","E2","E1"}, 0)
  ),
  ""
)</f>
        <v/>
      </c>
    </row>
    <row r="45" spans="2:63" hidden="1" x14ac:dyDescent="0.25">
      <c r="B45"/>
      <c r="C45" s="24">
        <f t="shared" si="10"/>
        <v>38</v>
      </c>
      <c r="D45" s="25" t="s">
        <v>30</v>
      </c>
      <c r="E45" s="175"/>
      <c r="F45" s="89"/>
      <c r="G45" s="89"/>
      <c r="H45" s="104"/>
      <c r="I45" s="104"/>
      <c r="J45" s="89"/>
      <c r="K45" s="89"/>
      <c r="L45" s="89"/>
      <c r="M45" s="89"/>
      <c r="N45" s="89"/>
      <c r="O45" s="89"/>
      <c r="P45" s="104"/>
      <c r="Q45" s="104"/>
      <c r="R45" s="89"/>
      <c r="S45" s="89"/>
      <c r="T45" s="89"/>
      <c r="U45" s="25"/>
      <c r="V45" s="119"/>
      <c r="W45" s="19"/>
      <c r="X45" s="104"/>
      <c r="Y45" s="104"/>
      <c r="Z45" s="104"/>
      <c r="AA45" s="19"/>
      <c r="AB45" s="160" t="str">
        <f>IF(OR(AA45="",G45=""),"",VLOOKUP(G45,'Rating Factors'!$C:$E,3,FALSE)*AA45)</f>
        <v/>
      </c>
      <c r="AC45" s="20"/>
      <c r="AD45" s="20"/>
      <c r="AE45" s="104"/>
      <c r="AF45" s="96"/>
      <c r="AG45" s="20"/>
      <c r="AH45" s="119"/>
      <c r="AI45" s="19"/>
      <c r="AJ45" s="19"/>
      <c r="AK45" s="19"/>
      <c r="AL45" s="96"/>
      <c r="AM45" s="119"/>
      <c r="AN45" s="19"/>
      <c r="AO45" s="20"/>
      <c r="AP45" s="119"/>
      <c r="AQ45" s="115">
        <f t="shared" si="2"/>
        <v>0</v>
      </c>
      <c r="AR45" s="171">
        <f>IF(OR(Z45="",N(Z45)=0),
IF(
N(H45)+N(I45)=0,
0,
MAX(
IFERROR(VLOOKUP(AE45,'Rating Factors'!$BJ:$BK,2,FALSE),0),
((N(H45)*'Rating Factors'!$BF$2)+(N(I45)*'Rating Factors'!$BG$2))
*IFERROR(VLOOKUP(AE45,'Rating Factors'!$Z:$AA,2,FALSE),1)
*IFERROR(VLOOKUP(AJ45,'Rating Factors'!$AD:$AE,2,FALSE),1)
*IFERROR(VLOOKUP(SUM($H$8:$H$127),'Rating Factors'!$BM:$BN,2),1)
*IFERROR(VLOOKUP(SUM($I$8:$I$127),'Rating Factors'!$BH:$BI,2),1)
)
),
MAX(IFERROR(VLOOKUP(AE45,'Rating Factors'!$BJ:$BL,3,FALSE),0),
((N(I45)*'Rating Factors'!$BG$2))
*IFERROR(VLOOKUP(AE45,'Rating Factors'!$Z:$AA,2,FALSE),1)
*IFERROR(VLOOKUP(AJ45,'Rating Factors'!$AD:$AE,2,FALSE),1)
*N(AA45)* IFERROR(VLOOKUP(G45,'Rating Factors'!$C:$D,2,FALSE),1)*0.0045
))</f>
        <v>0</v>
      </c>
      <c r="AS45" s="172">
        <f t="shared" si="3"/>
        <v>0</v>
      </c>
      <c r="AT45" s="115">
        <f t="shared" si="11"/>
        <v>0</v>
      </c>
      <c r="AU45" s="173" t="str">
        <f t="shared" si="4"/>
        <v/>
      </c>
      <c r="AV45" s="174" t="str">
        <f t="shared" si="5"/>
        <v/>
      </c>
      <c r="AW45" s="119"/>
      <c r="AX45" s="141">
        <f>IF(
  OR(
    IFERROR(VLOOKUP(F45,'Rating Factors'!$A:$B,2,FALSE)="Decline",FALSE),
    IFERROR(VLOOKUP(G45,'Rating Factors'!$C:$D,2,FALSE)="Decline",FALSE),
    IFERROR(VLOOKUP(J45,'Rating Factors'!$F:$G,2,FALSE)="Decline",FALSE),
    IFERROR(VLOOKUP(K45,'Rating Factors'!$H:$I,2,FALSE)="Decline",FALSE),
    IFERROR(VLOOKUP(L45,'Rating Factors'!$J:$K,2,FALSE)="Decline",FALSE),
    IFERROR(VLOOKUP(M45,'Rating Factors'!$L:$M,2,FALSE)="Decline",FALSE),
    IFERROR(VLOOKUP(N45,'Rating Factors'!$N:$O,2,FALSE)="Decline",FALSE),
    IFERROR(VLOOKUP(O45,'Rating Factors'!$P:$Q,2,FALSE)="Decline",FALSE),
    IFERROR(VLOOKUP(P45,'Rating Factors'!$BO:$BP,2,FALSE)="Decline",FALSE),
    IFERROR(VLOOKUP(Q45,'Rating Factors'!$BQ:$BR,2,FALSE)="Decline",FALSE),
    IFERROR(VLOOKUP(R45,'Rating Factors'!$R:$S,2,FALSE)="Decline",FALSE),
    IFERROR(VLOOKUP(S45,'Rating Factors'!$T:$U,2,FALSE)="Decline",FALSE),
    IFERROR(VLOOKUP(T45,'Rating Factors'!$V:$W,2,FALSE)="Decline",FALSE),
    IFERROR(VLOOKUP(U45,'Rating Factors'!$X:$Y,2,FALSE)="Decline",FALSE),
    IFERROR(VLOOKUP(AI45,'Rating Factors'!$AB:$AC,2,FALSE)="Decline",FALSE),
    IFERROR(VLOOKUP(AK45,'Rating Factors'!$AK:$AL,2,FALSE)="Decline",FALSE),
    IFERROR(VLOOKUP(AL45,'Rating Factors'!$AP:$AQ,2,FALSE)="Decline",FALSE)
  ),
  "Declined",
  SUM(
    W45,
    X45,
    Y45*
      IFERROR(VLOOKUP(AD45,'Rating Factors'!$BS:$BT,2,FALSE),1),
    Z45*
      IFERROR(VLOOKUP(AD45,'Rating Factors'!$BS:$BT,2,FALSE),1)*
      IFERROR(VLOOKUP(AC45,'Rating Factors'!$BV:$BW,2,FALSE),1),
  )
  * IFERROR(VLOOKUP(F45,'Rating Factors'!$A:$B,2,FALSE),1)
  * IFERROR(VLOOKUP(G45,'Rating Factors'!$C:$D,2,FALSE),1)
  * IFERROR(VLOOKUP(J45,'Rating Factors'!$F:$G,2,FALSE),1)
  * IFERROR(VLOOKUP(K45,'Rating Factors'!$H:$I,2,FALSE),1)
  * IFERROR(VLOOKUP(L45,'Rating Factors'!$J:$K,2,FALSE),1)
  * IFERROR(VLOOKUP(M45,'Rating Factors'!$L:$M,2,FALSE),1)
  * IFERROR(VLOOKUP(N45,'Rating Factors'!$N:$O,2,FALSE),1)
  * IFERROR(VLOOKUP(O45,'Rating Factors'!$P:$Q,2,FALSE),1)
  * IFERROR(VLOOKUP(P45,'Rating Factors'!$BO:$BP,2,FALSE),1)
  * IFERROR(VLOOKUP(Q45,'Rating Factors'!$BQ:$BR,2,FALSE),1)
  * IFERROR(VLOOKUP(R45,'Rating Factors'!$R:$S,2,FALSE),1)
  * IFERROR(VLOOKUP(S45,'Rating Factors'!$T:$U,2,FALSE),1)
  * IFERROR(VLOOKUP(T45,'Rating Factors'!$V:$W,2,FALSE),1)
  * IFERROR(VLOOKUP(U45,'Rating Factors'!$X:$Y,2,FALSE),1)
  * IFERROR(VLOOKUP(AI45,'Rating Factors'!$AB:$AC,2,FALSE),1)
  * IFERROR(VLOOKUP(AK45,'Rating Factors'!$AK:$AL,2,FALSE),1)
  * IFERROR(VLOOKUP(AL45,'Rating Factors'!$AP:$AQ,2,FALSE),1)
  * IFERROR(LOOKUP(SUM($W$8:$Z$127),'Rating Factors'!$BD:$BD,'Rating Factors'!$BE:$BE),1))</f>
        <v>0</v>
      </c>
      <c r="AY45" s="158">
        <f>IF(OR(AQ45="Declined", AN45&lt;&gt;"Y"),
   0,
   N(AT45)*N('Rating Factors'!$AG$2)/100
)</f>
        <v>0</v>
      </c>
      <c r="AZ45" s="158">
        <f t="shared" si="14"/>
        <v>0</v>
      </c>
      <c r="BA45" s="142">
        <f>_xlfn.LET(
  _xlpm.base_ok, AND(AQ45&lt;&gt;"Declined", N(AQ45)&gt;0),
  _xlpm.is_full, EXACT(AG45, "Full Limit"),
  _xlpm.total_tiv, SUM($AT$8:$AT$127),
  _xlpm.loc_tiv, N(BE45),
  _xlpm.full_rate, N('Rating Factors'!$AO$10),
  _xlpm.min_per_loc, N('Rating Factors'!$AN$10),
  _xlpm.n_locs, N(E42),
  _xlpm.sched_prem, MAX(_xlpm.total_tiv*_xlpm.full_rate, _xlpm.min_per_loc*_xlpm.n_locs),
  _xlpm.alloc_prem, IF(_xlpm.total_tiv=0, 0, _xlpm.sched_prem * _xlpm.loc_tiv / _xlpm.total_tiv),
  _xlpm.cap_prem, IFERROR(VLOOKUP(AG45, 'Rating Factors'!$AM:$AN, 2, FALSE), 0),
  IF(_xlpm.base_ok,
     IF(_xlpm.is_full, _xlpm.alloc_prem, _xlpm.cap_prem),
     0
  )
)</f>
        <v>0</v>
      </c>
      <c r="BB45" s="143">
        <f t="shared" si="12"/>
        <v>0</v>
      </c>
      <c r="BC45" s="144">
        <f t="shared" si="7"/>
        <v>0</v>
      </c>
      <c r="BD45" s="145">
        <f t="shared" si="8"/>
        <v>0</v>
      </c>
      <c r="BE45" s="115">
        <f t="shared" si="13"/>
        <v>0</v>
      </c>
      <c r="BF45" s="106" t="str">
        <f t="shared" si="9"/>
        <v/>
      </c>
      <c r="BG45"/>
      <c r="BI45" s="67" t="str" cm="1">
        <f t="array" ref="BI45">IF(E45="","",LEFT(_xlfn.REGEXEXTRACT(UPPER(E45),"[A-Z][0-9][A-Z][ -]?[0-9][A-Z][0-9]"),3))</f>
        <v/>
      </c>
      <c r="BJ45" s="66" t="str">
        <f>IF(E45="","",_xlfn.XLOOKUP(BI45, CrestaP!B:B, CrestaP!D:D, ""))</f>
        <v/>
      </c>
      <c r="BK45" s="66" t="str">
        <f>IFERROR(
  INDEX(
    CrestaP!H4:M9,
    MATCH(J45, {"Frame","Brick Veneer","Joisted Masonry","Non-Combustible","Masonry Non-Combustible","Fire resistive"}, 0),
    MATCH(TEXT(BJ45,"@"), {"16","E5","E4","E3","E2","E1"}, 0)
  ),
  ""
)</f>
        <v/>
      </c>
    </row>
    <row r="46" spans="2:63" hidden="1" x14ac:dyDescent="0.25">
      <c r="B46"/>
      <c r="C46" s="24">
        <f t="shared" si="10"/>
        <v>39</v>
      </c>
      <c r="D46" s="25" t="s">
        <v>30</v>
      </c>
      <c r="E46" s="175"/>
      <c r="F46" s="89"/>
      <c r="G46" s="89"/>
      <c r="H46" s="104"/>
      <c r="I46" s="104"/>
      <c r="J46" s="89"/>
      <c r="K46" s="89"/>
      <c r="L46" s="89"/>
      <c r="M46" s="89"/>
      <c r="N46" s="89"/>
      <c r="O46" s="89"/>
      <c r="P46" s="104"/>
      <c r="Q46" s="104"/>
      <c r="R46" s="89"/>
      <c r="S46" s="89"/>
      <c r="T46" s="89"/>
      <c r="U46" s="25"/>
      <c r="V46" s="119"/>
      <c r="W46" s="19"/>
      <c r="X46" s="104"/>
      <c r="Y46" s="104"/>
      <c r="Z46" s="104"/>
      <c r="AA46" s="19"/>
      <c r="AB46" s="160" t="str">
        <f>IF(OR(AA46="",G46=""),"",VLOOKUP(G46,'Rating Factors'!$C:$E,3,FALSE)*AA46)</f>
        <v/>
      </c>
      <c r="AC46" s="20"/>
      <c r="AD46" s="20"/>
      <c r="AE46" s="104"/>
      <c r="AF46" s="96"/>
      <c r="AG46" s="20"/>
      <c r="AH46" s="119"/>
      <c r="AI46" s="19"/>
      <c r="AJ46" s="19"/>
      <c r="AK46" s="19"/>
      <c r="AL46" s="96"/>
      <c r="AM46" s="119"/>
      <c r="AN46" s="19"/>
      <c r="AO46" s="20"/>
      <c r="AP46" s="119"/>
      <c r="AQ46" s="115">
        <f t="shared" si="2"/>
        <v>0</v>
      </c>
      <c r="AR46" s="171">
        <f>IF(OR(Z46="",N(Z46)=0),
IF(
N(H46)+N(I46)=0,
0,
MAX(
IFERROR(VLOOKUP(AE46,'Rating Factors'!$BJ:$BK,2,FALSE),0),
((N(H46)*'Rating Factors'!$BF$2)+(N(I46)*'Rating Factors'!$BG$2))
*IFERROR(VLOOKUP(AE46,'Rating Factors'!$Z:$AA,2,FALSE),1)
*IFERROR(VLOOKUP(AJ46,'Rating Factors'!$AD:$AE,2,FALSE),1)
*IFERROR(VLOOKUP(SUM($H$8:$H$127),'Rating Factors'!$BM:$BN,2),1)
*IFERROR(VLOOKUP(SUM($I$8:$I$127),'Rating Factors'!$BH:$BI,2),1)
)
),
MAX(IFERROR(VLOOKUP(AE46,'Rating Factors'!$BJ:$BL,3,FALSE),0),
((N(I46)*'Rating Factors'!$BG$2))
*IFERROR(VLOOKUP(AE46,'Rating Factors'!$Z:$AA,2,FALSE),1)
*IFERROR(VLOOKUP(AJ46,'Rating Factors'!$AD:$AE,2,FALSE),1)
*N(AA46)* IFERROR(VLOOKUP(G46,'Rating Factors'!$C:$D,2,FALSE),1)*0.0045
))</f>
        <v>0</v>
      </c>
      <c r="AS46" s="172">
        <f t="shared" si="3"/>
        <v>0</v>
      </c>
      <c r="AT46" s="115">
        <f t="shared" si="11"/>
        <v>0</v>
      </c>
      <c r="AU46" s="173" t="str">
        <f t="shared" si="4"/>
        <v/>
      </c>
      <c r="AV46" s="174" t="str">
        <f t="shared" si="5"/>
        <v/>
      </c>
      <c r="AW46" s="119"/>
      <c r="AX46" s="141">
        <f>IF(
  OR(
    IFERROR(VLOOKUP(F46,'Rating Factors'!$A:$B,2,FALSE)="Decline",FALSE),
    IFERROR(VLOOKUP(G46,'Rating Factors'!$C:$D,2,FALSE)="Decline",FALSE),
    IFERROR(VLOOKUP(J46,'Rating Factors'!$F:$G,2,FALSE)="Decline",FALSE),
    IFERROR(VLOOKUP(K46,'Rating Factors'!$H:$I,2,FALSE)="Decline",FALSE),
    IFERROR(VLOOKUP(L46,'Rating Factors'!$J:$K,2,FALSE)="Decline",FALSE),
    IFERROR(VLOOKUP(M46,'Rating Factors'!$L:$M,2,FALSE)="Decline",FALSE),
    IFERROR(VLOOKUP(N46,'Rating Factors'!$N:$O,2,FALSE)="Decline",FALSE),
    IFERROR(VLOOKUP(O46,'Rating Factors'!$P:$Q,2,FALSE)="Decline",FALSE),
    IFERROR(VLOOKUP(P46,'Rating Factors'!$BO:$BP,2,FALSE)="Decline",FALSE),
    IFERROR(VLOOKUP(Q46,'Rating Factors'!$BQ:$BR,2,FALSE)="Decline",FALSE),
    IFERROR(VLOOKUP(R46,'Rating Factors'!$R:$S,2,FALSE)="Decline",FALSE),
    IFERROR(VLOOKUP(S46,'Rating Factors'!$T:$U,2,FALSE)="Decline",FALSE),
    IFERROR(VLOOKUP(T46,'Rating Factors'!$V:$W,2,FALSE)="Decline",FALSE),
    IFERROR(VLOOKUP(U46,'Rating Factors'!$X:$Y,2,FALSE)="Decline",FALSE),
    IFERROR(VLOOKUP(AI46,'Rating Factors'!$AB:$AC,2,FALSE)="Decline",FALSE),
    IFERROR(VLOOKUP(AK46,'Rating Factors'!$AK:$AL,2,FALSE)="Decline",FALSE),
    IFERROR(VLOOKUP(AL46,'Rating Factors'!$AP:$AQ,2,FALSE)="Decline",FALSE)
  ),
  "Declined",
  SUM(
    W46,
    X46,
    Y46*
      IFERROR(VLOOKUP(AD46,'Rating Factors'!$BS:$BT,2,FALSE),1),
    Z46*
      IFERROR(VLOOKUP(AD46,'Rating Factors'!$BS:$BT,2,FALSE),1)*
      IFERROR(VLOOKUP(AC46,'Rating Factors'!$BV:$BW,2,FALSE),1),
  )
  * IFERROR(VLOOKUP(F46,'Rating Factors'!$A:$B,2,FALSE),1)
  * IFERROR(VLOOKUP(G46,'Rating Factors'!$C:$D,2,FALSE),1)
  * IFERROR(VLOOKUP(J46,'Rating Factors'!$F:$G,2,FALSE),1)
  * IFERROR(VLOOKUP(K46,'Rating Factors'!$H:$I,2,FALSE),1)
  * IFERROR(VLOOKUP(L46,'Rating Factors'!$J:$K,2,FALSE),1)
  * IFERROR(VLOOKUP(M46,'Rating Factors'!$L:$M,2,FALSE),1)
  * IFERROR(VLOOKUP(N46,'Rating Factors'!$N:$O,2,FALSE),1)
  * IFERROR(VLOOKUP(O46,'Rating Factors'!$P:$Q,2,FALSE),1)
  * IFERROR(VLOOKUP(P46,'Rating Factors'!$BO:$BP,2,FALSE),1)
  * IFERROR(VLOOKUP(Q46,'Rating Factors'!$BQ:$BR,2,FALSE),1)
  * IFERROR(VLOOKUP(R46,'Rating Factors'!$R:$S,2,FALSE),1)
  * IFERROR(VLOOKUP(S46,'Rating Factors'!$T:$U,2,FALSE),1)
  * IFERROR(VLOOKUP(T46,'Rating Factors'!$V:$W,2,FALSE),1)
  * IFERROR(VLOOKUP(U46,'Rating Factors'!$X:$Y,2,FALSE),1)
  * IFERROR(VLOOKUP(AI46,'Rating Factors'!$AB:$AC,2,FALSE),1)
  * IFERROR(VLOOKUP(AK46,'Rating Factors'!$AK:$AL,2,FALSE),1)
  * IFERROR(VLOOKUP(AL46,'Rating Factors'!$AP:$AQ,2,FALSE),1)
  * IFERROR(LOOKUP(SUM($W$8:$Z$127),'Rating Factors'!$BD:$BD,'Rating Factors'!$BE:$BE),1))</f>
        <v>0</v>
      </c>
      <c r="AY46" s="158">
        <f>IF(OR(AQ46="Declined", AN46&lt;&gt;"Y"),
   0,
   N(AT46)*N('Rating Factors'!$AG$2)/100
)</f>
        <v>0</v>
      </c>
      <c r="AZ46" s="158">
        <f t="shared" si="14"/>
        <v>0</v>
      </c>
      <c r="BA46" s="142">
        <f>_xlfn.LET(
  _xlpm.base_ok, AND(AQ46&lt;&gt;"Declined", N(AQ46)&gt;0),
  _xlpm.is_full, EXACT(AG46, "Full Limit"),
  _xlpm.total_tiv, SUM($AT$8:$AT$127),
  _xlpm.loc_tiv, N(BE46),
  _xlpm.full_rate, N('Rating Factors'!$AO$10),
  _xlpm.min_per_loc, N('Rating Factors'!$AN$10),
  _xlpm.n_locs, N(E43),
  _xlpm.sched_prem, MAX(_xlpm.total_tiv*_xlpm.full_rate, _xlpm.min_per_loc*_xlpm.n_locs),
  _xlpm.alloc_prem, IF(_xlpm.total_tiv=0, 0, _xlpm.sched_prem * _xlpm.loc_tiv / _xlpm.total_tiv),
  _xlpm.cap_prem, IFERROR(VLOOKUP(AG46, 'Rating Factors'!$AM:$AN, 2, FALSE), 0),
  IF(_xlpm.base_ok,
     IF(_xlpm.is_full, _xlpm.alloc_prem, _xlpm.cap_prem),
     0
  )
)</f>
        <v>0</v>
      </c>
      <c r="BB46" s="143">
        <f t="shared" si="12"/>
        <v>0</v>
      </c>
      <c r="BC46" s="144">
        <f t="shared" si="7"/>
        <v>0</v>
      </c>
      <c r="BD46" s="145">
        <f t="shared" si="8"/>
        <v>0</v>
      </c>
      <c r="BE46" s="115">
        <f t="shared" si="13"/>
        <v>0</v>
      </c>
      <c r="BF46" s="106" t="str">
        <f t="shared" si="9"/>
        <v/>
      </c>
      <c r="BG46"/>
      <c r="BI46" s="67" t="str" cm="1">
        <f t="array" ref="BI46">IF(E46="","",LEFT(_xlfn.REGEXEXTRACT(UPPER(E46),"[A-Z][0-9][A-Z][ -]?[0-9][A-Z][0-9]"),3))</f>
        <v/>
      </c>
      <c r="BJ46" s="66" t="str">
        <f>IF(E46="","",_xlfn.XLOOKUP(BI46, CrestaP!B:B, CrestaP!D:D, ""))</f>
        <v/>
      </c>
      <c r="BK46" s="66" t="str">
        <f>IFERROR(
  INDEX(
    CrestaP!H4:M9,
    MATCH(J46, {"Frame","Brick Veneer","Joisted Masonry","Non-Combustible","Masonry Non-Combustible","Fire resistive"}, 0),
    MATCH(TEXT(BJ46,"@"), {"16","E5","E4","E3","E2","E1"}, 0)
  ),
  ""
)</f>
        <v/>
      </c>
    </row>
    <row r="47" spans="2:63" hidden="1" x14ac:dyDescent="0.25">
      <c r="B47"/>
      <c r="C47" s="24">
        <f t="shared" si="10"/>
        <v>40</v>
      </c>
      <c r="D47" s="25" t="s">
        <v>30</v>
      </c>
      <c r="E47" s="175"/>
      <c r="F47" s="89"/>
      <c r="G47" s="89"/>
      <c r="H47" s="104"/>
      <c r="I47" s="104"/>
      <c r="J47" s="89"/>
      <c r="K47" s="89"/>
      <c r="L47" s="89"/>
      <c r="M47" s="89"/>
      <c r="N47" s="89"/>
      <c r="O47" s="89"/>
      <c r="P47" s="104"/>
      <c r="Q47" s="104"/>
      <c r="R47" s="89"/>
      <c r="S47" s="89"/>
      <c r="T47" s="89"/>
      <c r="U47" s="25"/>
      <c r="V47" s="119"/>
      <c r="W47" s="19"/>
      <c r="X47" s="104"/>
      <c r="Y47" s="104"/>
      <c r="Z47" s="104"/>
      <c r="AA47" s="19"/>
      <c r="AB47" s="160" t="str">
        <f>IF(OR(AA47="",G47=""),"",VLOOKUP(G47,'Rating Factors'!$C:$E,3,FALSE)*AA47)</f>
        <v/>
      </c>
      <c r="AC47" s="20"/>
      <c r="AD47" s="20"/>
      <c r="AE47" s="104"/>
      <c r="AF47" s="96"/>
      <c r="AG47" s="20"/>
      <c r="AH47" s="119"/>
      <c r="AI47" s="19"/>
      <c r="AJ47" s="19"/>
      <c r="AK47" s="19"/>
      <c r="AL47" s="96"/>
      <c r="AM47" s="119"/>
      <c r="AN47" s="19"/>
      <c r="AO47" s="20"/>
      <c r="AP47" s="119"/>
      <c r="AQ47" s="115">
        <f t="shared" si="2"/>
        <v>0</v>
      </c>
      <c r="AR47" s="171">
        <f>IF(OR(Z47="",N(Z47)=0),
IF(
N(H47)+N(I47)=0,
0,
MAX(
IFERROR(VLOOKUP(AE47,'Rating Factors'!$BJ:$BK,2,FALSE),0),
((N(H47)*'Rating Factors'!$BF$2)+(N(I47)*'Rating Factors'!$BG$2))
*IFERROR(VLOOKUP(AE47,'Rating Factors'!$Z:$AA,2,FALSE),1)
*IFERROR(VLOOKUP(AJ47,'Rating Factors'!$AD:$AE,2,FALSE),1)
*IFERROR(VLOOKUP(SUM($H$8:$H$127),'Rating Factors'!$BM:$BN,2),1)
*IFERROR(VLOOKUP(SUM($I$8:$I$127),'Rating Factors'!$BH:$BI,2),1)
)
),
MAX(IFERROR(VLOOKUP(AE47,'Rating Factors'!$BJ:$BL,3,FALSE),0),
((N(I47)*'Rating Factors'!$BG$2))
*IFERROR(VLOOKUP(AE47,'Rating Factors'!$Z:$AA,2,FALSE),1)
*IFERROR(VLOOKUP(AJ47,'Rating Factors'!$AD:$AE,2,FALSE),1)
*N(AA47)* IFERROR(VLOOKUP(G47,'Rating Factors'!$C:$D,2,FALSE),1)*0.0045
))</f>
        <v>0</v>
      </c>
      <c r="AS47" s="172">
        <f t="shared" si="3"/>
        <v>0</v>
      </c>
      <c r="AT47" s="115">
        <f t="shared" si="11"/>
        <v>0</v>
      </c>
      <c r="AU47" s="173" t="str">
        <f t="shared" si="4"/>
        <v/>
      </c>
      <c r="AV47" s="174" t="str">
        <f t="shared" si="5"/>
        <v/>
      </c>
      <c r="AW47" s="119"/>
      <c r="AX47" s="141">
        <f>IF(
  OR(
    IFERROR(VLOOKUP(F47,'Rating Factors'!$A:$B,2,FALSE)="Decline",FALSE),
    IFERROR(VLOOKUP(G47,'Rating Factors'!$C:$D,2,FALSE)="Decline",FALSE),
    IFERROR(VLOOKUP(J47,'Rating Factors'!$F:$G,2,FALSE)="Decline",FALSE),
    IFERROR(VLOOKUP(K47,'Rating Factors'!$H:$I,2,FALSE)="Decline",FALSE),
    IFERROR(VLOOKUP(L47,'Rating Factors'!$J:$K,2,FALSE)="Decline",FALSE),
    IFERROR(VLOOKUP(M47,'Rating Factors'!$L:$M,2,FALSE)="Decline",FALSE),
    IFERROR(VLOOKUP(N47,'Rating Factors'!$N:$O,2,FALSE)="Decline",FALSE),
    IFERROR(VLOOKUP(O47,'Rating Factors'!$P:$Q,2,FALSE)="Decline",FALSE),
    IFERROR(VLOOKUP(P47,'Rating Factors'!$BO:$BP,2,FALSE)="Decline",FALSE),
    IFERROR(VLOOKUP(Q47,'Rating Factors'!$BQ:$BR,2,FALSE)="Decline",FALSE),
    IFERROR(VLOOKUP(R47,'Rating Factors'!$R:$S,2,FALSE)="Decline",FALSE),
    IFERROR(VLOOKUP(S47,'Rating Factors'!$T:$U,2,FALSE)="Decline",FALSE),
    IFERROR(VLOOKUP(T47,'Rating Factors'!$V:$W,2,FALSE)="Decline",FALSE),
    IFERROR(VLOOKUP(U47,'Rating Factors'!$X:$Y,2,FALSE)="Decline",FALSE),
    IFERROR(VLOOKUP(AI47,'Rating Factors'!$AB:$AC,2,FALSE)="Decline",FALSE),
    IFERROR(VLOOKUP(AK47,'Rating Factors'!$AK:$AL,2,FALSE)="Decline",FALSE),
    IFERROR(VLOOKUP(AL47,'Rating Factors'!$AP:$AQ,2,FALSE)="Decline",FALSE)
  ),
  "Declined",
  SUM(
    W47,
    X47,
    Y47*
      IFERROR(VLOOKUP(AD47,'Rating Factors'!$BS:$BT,2,FALSE),1),
    Z47*
      IFERROR(VLOOKUP(AD47,'Rating Factors'!$BS:$BT,2,FALSE),1)*
      IFERROR(VLOOKUP(AC47,'Rating Factors'!$BV:$BW,2,FALSE),1),
  )
  * IFERROR(VLOOKUP(F47,'Rating Factors'!$A:$B,2,FALSE),1)
  * IFERROR(VLOOKUP(G47,'Rating Factors'!$C:$D,2,FALSE),1)
  * IFERROR(VLOOKUP(J47,'Rating Factors'!$F:$G,2,FALSE),1)
  * IFERROR(VLOOKUP(K47,'Rating Factors'!$H:$I,2,FALSE),1)
  * IFERROR(VLOOKUP(L47,'Rating Factors'!$J:$K,2,FALSE),1)
  * IFERROR(VLOOKUP(M47,'Rating Factors'!$L:$M,2,FALSE),1)
  * IFERROR(VLOOKUP(N47,'Rating Factors'!$N:$O,2,FALSE),1)
  * IFERROR(VLOOKUP(O47,'Rating Factors'!$P:$Q,2,FALSE),1)
  * IFERROR(VLOOKUP(P47,'Rating Factors'!$BO:$BP,2,FALSE),1)
  * IFERROR(VLOOKUP(Q47,'Rating Factors'!$BQ:$BR,2,FALSE),1)
  * IFERROR(VLOOKUP(R47,'Rating Factors'!$R:$S,2,FALSE),1)
  * IFERROR(VLOOKUP(S47,'Rating Factors'!$T:$U,2,FALSE),1)
  * IFERROR(VLOOKUP(T47,'Rating Factors'!$V:$W,2,FALSE),1)
  * IFERROR(VLOOKUP(U47,'Rating Factors'!$X:$Y,2,FALSE),1)
  * IFERROR(VLOOKUP(AI47,'Rating Factors'!$AB:$AC,2,FALSE),1)
  * IFERROR(VLOOKUP(AK47,'Rating Factors'!$AK:$AL,2,FALSE),1)
  * IFERROR(VLOOKUP(AL47,'Rating Factors'!$AP:$AQ,2,FALSE),1)
  * IFERROR(LOOKUP(SUM($W$8:$Z$127),'Rating Factors'!$BD:$BD,'Rating Factors'!$BE:$BE),1))</f>
        <v>0</v>
      </c>
      <c r="AY47" s="158">
        <f>IF(OR(AQ47="Declined", AN47&lt;&gt;"Y"),
   0,
   N(AT47)*N('Rating Factors'!$AG$2)/100
)</f>
        <v>0</v>
      </c>
      <c r="AZ47" s="158">
        <f t="shared" si="14"/>
        <v>0</v>
      </c>
      <c r="BA47" s="142">
        <f>_xlfn.LET(
  _xlpm.base_ok, AND(AQ47&lt;&gt;"Declined", N(AQ47)&gt;0),
  _xlpm.is_full, EXACT(AG47, "Full Limit"),
  _xlpm.total_tiv, SUM($AT$8:$AT$127),
  _xlpm.loc_tiv, N(BE47),
  _xlpm.full_rate, N('Rating Factors'!$AO$10),
  _xlpm.min_per_loc, N('Rating Factors'!$AN$10),
  _xlpm.n_locs, N(E44),
  _xlpm.sched_prem, MAX(_xlpm.total_tiv*_xlpm.full_rate, _xlpm.min_per_loc*_xlpm.n_locs),
  _xlpm.alloc_prem, IF(_xlpm.total_tiv=0, 0, _xlpm.sched_prem * _xlpm.loc_tiv / _xlpm.total_tiv),
  _xlpm.cap_prem, IFERROR(VLOOKUP(AG47, 'Rating Factors'!$AM:$AN, 2, FALSE), 0),
  IF(_xlpm.base_ok,
     IF(_xlpm.is_full, _xlpm.alloc_prem, _xlpm.cap_prem),
     0
  )
)</f>
        <v>0</v>
      </c>
      <c r="BB47" s="143">
        <f t="shared" si="12"/>
        <v>0</v>
      </c>
      <c r="BC47" s="144">
        <f t="shared" si="7"/>
        <v>0</v>
      </c>
      <c r="BD47" s="145">
        <f t="shared" si="8"/>
        <v>0</v>
      </c>
      <c r="BE47" s="115">
        <f t="shared" si="13"/>
        <v>0</v>
      </c>
      <c r="BF47" s="106" t="str">
        <f t="shared" si="9"/>
        <v/>
      </c>
      <c r="BG47"/>
      <c r="BI47" s="67" t="str" cm="1">
        <f t="array" ref="BI47">IF(E47="","",LEFT(_xlfn.REGEXEXTRACT(UPPER(E47),"[A-Z][0-9][A-Z][ -]?[0-9][A-Z][0-9]"),3))</f>
        <v/>
      </c>
      <c r="BJ47" s="66" t="str">
        <f>IF(E47="","",_xlfn.XLOOKUP(BI47, CrestaP!B:B, CrestaP!D:D, ""))</f>
        <v/>
      </c>
      <c r="BK47" s="66" t="str">
        <f>IFERROR(
  INDEX(
    CrestaP!H4:M9,
    MATCH(J47, {"Frame","Brick Veneer","Joisted Masonry","Non-Combustible","Masonry Non-Combustible","Fire resistive"}, 0),
    MATCH(TEXT(BJ47,"@"), {"16","E5","E4","E3","E2","E1"}, 0)
  ),
  ""
)</f>
        <v/>
      </c>
    </row>
    <row r="48" spans="2:63" hidden="1" x14ac:dyDescent="0.25">
      <c r="B48"/>
      <c r="C48" s="24">
        <f t="shared" si="10"/>
        <v>41</v>
      </c>
      <c r="D48" s="25" t="s">
        <v>30</v>
      </c>
      <c r="E48" s="175"/>
      <c r="F48" s="89"/>
      <c r="G48" s="89"/>
      <c r="H48" s="104"/>
      <c r="I48" s="104"/>
      <c r="J48" s="89"/>
      <c r="K48" s="89"/>
      <c r="L48" s="89"/>
      <c r="M48" s="89"/>
      <c r="N48" s="89"/>
      <c r="O48" s="89"/>
      <c r="P48" s="104"/>
      <c r="Q48" s="104"/>
      <c r="R48" s="89"/>
      <c r="S48" s="89"/>
      <c r="T48" s="89"/>
      <c r="U48" s="25"/>
      <c r="V48" s="119"/>
      <c r="W48" s="19"/>
      <c r="X48" s="104"/>
      <c r="Y48" s="104"/>
      <c r="Z48" s="104"/>
      <c r="AA48" s="19"/>
      <c r="AB48" s="160" t="str">
        <f>IF(OR(AA48="",G48=""),"",VLOOKUP(G48,'Rating Factors'!$C:$E,3,FALSE)*AA48)</f>
        <v/>
      </c>
      <c r="AC48" s="20"/>
      <c r="AD48" s="20"/>
      <c r="AE48" s="104"/>
      <c r="AF48" s="96"/>
      <c r="AG48" s="20"/>
      <c r="AH48" s="119"/>
      <c r="AI48" s="19"/>
      <c r="AJ48" s="19"/>
      <c r="AK48" s="19"/>
      <c r="AL48" s="96"/>
      <c r="AM48" s="119"/>
      <c r="AN48" s="19"/>
      <c r="AO48" s="20"/>
      <c r="AP48" s="119"/>
      <c r="AQ48" s="115">
        <f t="shared" si="2"/>
        <v>0</v>
      </c>
      <c r="AR48" s="171">
        <f>IF(OR(Z48="",N(Z48)=0),
IF(
N(H48)+N(I48)=0,
0,
MAX(
IFERROR(VLOOKUP(AE48,'Rating Factors'!$BJ:$BK,2,FALSE),0),
((N(H48)*'Rating Factors'!$BF$2)+(N(I48)*'Rating Factors'!$BG$2))
*IFERROR(VLOOKUP(AE48,'Rating Factors'!$Z:$AA,2,FALSE),1)
*IFERROR(VLOOKUP(AJ48,'Rating Factors'!$AD:$AE,2,FALSE),1)
*IFERROR(VLOOKUP(SUM($H$8:$H$127),'Rating Factors'!$BM:$BN,2),1)
*IFERROR(VLOOKUP(SUM($I$8:$I$127),'Rating Factors'!$BH:$BI,2),1)
)
),
MAX(IFERROR(VLOOKUP(AE48,'Rating Factors'!$BJ:$BL,3,FALSE),0),
((N(I48)*'Rating Factors'!$BG$2))
*IFERROR(VLOOKUP(AE48,'Rating Factors'!$Z:$AA,2,FALSE),1)
*IFERROR(VLOOKUP(AJ48,'Rating Factors'!$AD:$AE,2,FALSE),1)
*N(AA48)* IFERROR(VLOOKUP(G48,'Rating Factors'!$C:$D,2,FALSE),1)*0.0045
))</f>
        <v>0</v>
      </c>
      <c r="AS48" s="172">
        <f t="shared" si="3"/>
        <v>0</v>
      </c>
      <c r="AT48" s="115">
        <f t="shared" si="11"/>
        <v>0</v>
      </c>
      <c r="AU48" s="173" t="str">
        <f t="shared" si="4"/>
        <v/>
      </c>
      <c r="AV48" s="174" t="str">
        <f t="shared" si="5"/>
        <v/>
      </c>
      <c r="AW48" s="119"/>
      <c r="AX48" s="141">
        <f>IF(
  OR(
    IFERROR(VLOOKUP(F48,'Rating Factors'!$A:$B,2,FALSE)="Decline",FALSE),
    IFERROR(VLOOKUP(G48,'Rating Factors'!$C:$D,2,FALSE)="Decline",FALSE),
    IFERROR(VLOOKUP(J48,'Rating Factors'!$F:$G,2,FALSE)="Decline",FALSE),
    IFERROR(VLOOKUP(K48,'Rating Factors'!$H:$I,2,FALSE)="Decline",FALSE),
    IFERROR(VLOOKUP(L48,'Rating Factors'!$J:$K,2,FALSE)="Decline",FALSE),
    IFERROR(VLOOKUP(M48,'Rating Factors'!$L:$M,2,FALSE)="Decline",FALSE),
    IFERROR(VLOOKUP(N48,'Rating Factors'!$N:$O,2,FALSE)="Decline",FALSE),
    IFERROR(VLOOKUP(O48,'Rating Factors'!$P:$Q,2,FALSE)="Decline",FALSE),
    IFERROR(VLOOKUP(P48,'Rating Factors'!$BO:$BP,2,FALSE)="Decline",FALSE),
    IFERROR(VLOOKUP(Q48,'Rating Factors'!$BQ:$BR,2,FALSE)="Decline",FALSE),
    IFERROR(VLOOKUP(R48,'Rating Factors'!$R:$S,2,FALSE)="Decline",FALSE),
    IFERROR(VLOOKUP(S48,'Rating Factors'!$T:$U,2,FALSE)="Decline",FALSE),
    IFERROR(VLOOKUP(T48,'Rating Factors'!$V:$W,2,FALSE)="Decline",FALSE),
    IFERROR(VLOOKUP(U48,'Rating Factors'!$X:$Y,2,FALSE)="Decline",FALSE),
    IFERROR(VLOOKUP(AI48,'Rating Factors'!$AB:$AC,2,FALSE)="Decline",FALSE),
    IFERROR(VLOOKUP(AK48,'Rating Factors'!$AK:$AL,2,FALSE)="Decline",FALSE),
    IFERROR(VLOOKUP(AL48,'Rating Factors'!$AP:$AQ,2,FALSE)="Decline",FALSE)
  ),
  "Declined",
  SUM(
    W48,
    X48,
    Y48*
      IFERROR(VLOOKUP(AD48,'Rating Factors'!$BS:$BT,2,FALSE),1),
    Z48*
      IFERROR(VLOOKUP(AD48,'Rating Factors'!$BS:$BT,2,FALSE),1)*
      IFERROR(VLOOKUP(AC48,'Rating Factors'!$BV:$BW,2,FALSE),1),
  )
  * IFERROR(VLOOKUP(F48,'Rating Factors'!$A:$B,2,FALSE),1)
  * IFERROR(VLOOKUP(G48,'Rating Factors'!$C:$D,2,FALSE),1)
  * IFERROR(VLOOKUP(J48,'Rating Factors'!$F:$G,2,FALSE),1)
  * IFERROR(VLOOKUP(K48,'Rating Factors'!$H:$I,2,FALSE),1)
  * IFERROR(VLOOKUP(L48,'Rating Factors'!$J:$K,2,FALSE),1)
  * IFERROR(VLOOKUP(M48,'Rating Factors'!$L:$M,2,FALSE),1)
  * IFERROR(VLOOKUP(N48,'Rating Factors'!$N:$O,2,FALSE),1)
  * IFERROR(VLOOKUP(O48,'Rating Factors'!$P:$Q,2,FALSE),1)
  * IFERROR(VLOOKUP(P48,'Rating Factors'!$BO:$BP,2,FALSE),1)
  * IFERROR(VLOOKUP(Q48,'Rating Factors'!$BQ:$BR,2,FALSE),1)
  * IFERROR(VLOOKUP(R48,'Rating Factors'!$R:$S,2,FALSE),1)
  * IFERROR(VLOOKUP(S48,'Rating Factors'!$T:$U,2,FALSE),1)
  * IFERROR(VLOOKUP(T48,'Rating Factors'!$V:$W,2,FALSE),1)
  * IFERROR(VLOOKUP(U48,'Rating Factors'!$X:$Y,2,FALSE),1)
  * IFERROR(VLOOKUP(AI48,'Rating Factors'!$AB:$AC,2,FALSE),1)
  * IFERROR(VLOOKUP(AK48,'Rating Factors'!$AK:$AL,2,FALSE),1)
  * IFERROR(VLOOKUP(AL48,'Rating Factors'!$AP:$AQ,2,FALSE),1)
  * IFERROR(LOOKUP(SUM($W$8:$Z$127),'Rating Factors'!$BD:$BD,'Rating Factors'!$BE:$BE),1))</f>
        <v>0</v>
      </c>
      <c r="AY48" s="158">
        <f>IF(OR(AQ48="Declined", AN48&lt;&gt;"Y"),
   0,
   N(AT48)*N('Rating Factors'!$AG$2)/100
)</f>
        <v>0</v>
      </c>
      <c r="AZ48" s="158">
        <f t="shared" si="14"/>
        <v>0</v>
      </c>
      <c r="BA48" s="142">
        <f>_xlfn.LET(
  _xlpm.base_ok, AND(AQ48&lt;&gt;"Declined", N(AQ48)&gt;0),
  _xlpm.is_full, EXACT(AG48, "Full Limit"),
  _xlpm.total_tiv, SUM($AT$8:$AT$127),
  _xlpm.loc_tiv, N(BE48),
  _xlpm.full_rate, N('Rating Factors'!$AO$10),
  _xlpm.min_per_loc, N('Rating Factors'!$AN$10),
  _xlpm.n_locs, N(E45),
  _xlpm.sched_prem, MAX(_xlpm.total_tiv*_xlpm.full_rate, _xlpm.min_per_loc*_xlpm.n_locs),
  _xlpm.alloc_prem, IF(_xlpm.total_tiv=0, 0, _xlpm.sched_prem * _xlpm.loc_tiv / _xlpm.total_tiv),
  _xlpm.cap_prem, IFERROR(VLOOKUP(AG48, 'Rating Factors'!$AM:$AN, 2, FALSE), 0),
  IF(_xlpm.base_ok,
     IF(_xlpm.is_full, _xlpm.alloc_prem, _xlpm.cap_prem),
     0
  )
)</f>
        <v>0</v>
      </c>
      <c r="BB48" s="143">
        <f t="shared" si="12"/>
        <v>0</v>
      </c>
      <c r="BC48" s="144">
        <f t="shared" si="7"/>
        <v>0</v>
      </c>
      <c r="BD48" s="145">
        <f t="shared" si="8"/>
        <v>0</v>
      </c>
      <c r="BE48" s="115">
        <f t="shared" si="13"/>
        <v>0</v>
      </c>
      <c r="BF48" s="106" t="str">
        <f t="shared" si="9"/>
        <v/>
      </c>
      <c r="BG48"/>
      <c r="BI48" s="67" t="str" cm="1">
        <f t="array" ref="BI48">IF(E48="","",LEFT(_xlfn.REGEXEXTRACT(UPPER(E48),"[A-Z][0-9][A-Z][ -]?[0-9][A-Z][0-9]"),3))</f>
        <v/>
      </c>
      <c r="BJ48" s="66" t="str">
        <f>IF(E48="","",_xlfn.XLOOKUP(BI48, CrestaP!B:B, CrestaP!D:D, ""))</f>
        <v/>
      </c>
      <c r="BK48" s="66" t="str">
        <f>IFERROR(
  INDEX(
    CrestaP!H4:M9,
    MATCH(J48, {"Frame","Brick Veneer","Joisted Masonry","Non-Combustible","Masonry Non-Combustible","Fire resistive"}, 0),
    MATCH(TEXT(BJ48,"@"), {"16","E5","E4","E3","E2","E1"}, 0)
  ),
  ""
)</f>
        <v/>
      </c>
    </row>
    <row r="49" spans="2:63" hidden="1" x14ac:dyDescent="0.25">
      <c r="B49"/>
      <c r="C49" s="24">
        <f t="shared" si="10"/>
        <v>42</v>
      </c>
      <c r="D49" s="25" t="s">
        <v>30</v>
      </c>
      <c r="E49" s="175"/>
      <c r="F49" s="89"/>
      <c r="G49" s="89"/>
      <c r="H49" s="104"/>
      <c r="I49" s="104"/>
      <c r="J49" s="89"/>
      <c r="K49" s="89"/>
      <c r="L49" s="89"/>
      <c r="M49" s="89"/>
      <c r="N49" s="89"/>
      <c r="O49" s="89"/>
      <c r="P49" s="104"/>
      <c r="Q49" s="104"/>
      <c r="R49" s="89"/>
      <c r="S49" s="89"/>
      <c r="T49" s="89"/>
      <c r="U49" s="25"/>
      <c r="V49" s="119"/>
      <c r="W49" s="19"/>
      <c r="X49" s="104"/>
      <c r="Y49" s="104"/>
      <c r="Z49" s="104"/>
      <c r="AA49" s="19"/>
      <c r="AB49" s="160" t="str">
        <f>IF(OR(AA49="",G49=""),"",VLOOKUP(G49,'Rating Factors'!$C:$E,3,FALSE)*AA49)</f>
        <v/>
      </c>
      <c r="AC49" s="20"/>
      <c r="AD49" s="20"/>
      <c r="AE49" s="104"/>
      <c r="AF49" s="96"/>
      <c r="AG49" s="20"/>
      <c r="AH49" s="119"/>
      <c r="AI49" s="19"/>
      <c r="AJ49" s="19"/>
      <c r="AK49" s="19"/>
      <c r="AL49" s="96"/>
      <c r="AM49" s="119"/>
      <c r="AN49" s="19"/>
      <c r="AO49" s="20"/>
      <c r="AP49" s="119"/>
      <c r="AQ49" s="115">
        <f t="shared" si="2"/>
        <v>0</v>
      </c>
      <c r="AR49" s="171">
        <f>IF(OR(Z49="",N(Z49)=0),
IF(
N(H49)+N(I49)=0,
0,
MAX(
IFERROR(VLOOKUP(AE49,'Rating Factors'!$BJ:$BK,2,FALSE),0),
((N(H49)*'Rating Factors'!$BF$2)+(N(I49)*'Rating Factors'!$BG$2))
*IFERROR(VLOOKUP(AE49,'Rating Factors'!$Z:$AA,2,FALSE),1)
*IFERROR(VLOOKUP(AJ49,'Rating Factors'!$AD:$AE,2,FALSE),1)
*IFERROR(VLOOKUP(SUM($H$8:$H$127),'Rating Factors'!$BM:$BN,2),1)
*IFERROR(VLOOKUP(SUM($I$8:$I$127),'Rating Factors'!$BH:$BI,2),1)
)
),
MAX(IFERROR(VLOOKUP(AE49,'Rating Factors'!$BJ:$BL,3,FALSE),0),
((N(I49)*'Rating Factors'!$BG$2))
*IFERROR(VLOOKUP(AE49,'Rating Factors'!$Z:$AA,2,FALSE),1)
*IFERROR(VLOOKUP(AJ49,'Rating Factors'!$AD:$AE,2,FALSE),1)
*N(AA49)* IFERROR(VLOOKUP(G49,'Rating Factors'!$C:$D,2,FALSE),1)*0.0045
))</f>
        <v>0</v>
      </c>
      <c r="AS49" s="172">
        <f t="shared" si="3"/>
        <v>0</v>
      </c>
      <c r="AT49" s="115">
        <f t="shared" si="11"/>
        <v>0</v>
      </c>
      <c r="AU49" s="173" t="str">
        <f t="shared" si="4"/>
        <v/>
      </c>
      <c r="AV49" s="174" t="str">
        <f t="shared" si="5"/>
        <v/>
      </c>
      <c r="AW49" s="119"/>
      <c r="AX49" s="141">
        <f>IF(
  OR(
    IFERROR(VLOOKUP(F49,'Rating Factors'!$A:$B,2,FALSE)="Decline",FALSE),
    IFERROR(VLOOKUP(G49,'Rating Factors'!$C:$D,2,FALSE)="Decline",FALSE),
    IFERROR(VLOOKUP(J49,'Rating Factors'!$F:$G,2,FALSE)="Decline",FALSE),
    IFERROR(VLOOKUP(K49,'Rating Factors'!$H:$I,2,FALSE)="Decline",FALSE),
    IFERROR(VLOOKUP(L49,'Rating Factors'!$J:$K,2,FALSE)="Decline",FALSE),
    IFERROR(VLOOKUP(M49,'Rating Factors'!$L:$M,2,FALSE)="Decline",FALSE),
    IFERROR(VLOOKUP(N49,'Rating Factors'!$N:$O,2,FALSE)="Decline",FALSE),
    IFERROR(VLOOKUP(O49,'Rating Factors'!$P:$Q,2,FALSE)="Decline",FALSE),
    IFERROR(VLOOKUP(P49,'Rating Factors'!$BO:$BP,2,FALSE)="Decline",FALSE),
    IFERROR(VLOOKUP(Q49,'Rating Factors'!$BQ:$BR,2,FALSE)="Decline",FALSE),
    IFERROR(VLOOKUP(R49,'Rating Factors'!$R:$S,2,FALSE)="Decline",FALSE),
    IFERROR(VLOOKUP(S49,'Rating Factors'!$T:$U,2,FALSE)="Decline",FALSE),
    IFERROR(VLOOKUP(T49,'Rating Factors'!$V:$W,2,FALSE)="Decline",FALSE),
    IFERROR(VLOOKUP(U49,'Rating Factors'!$X:$Y,2,FALSE)="Decline",FALSE),
    IFERROR(VLOOKUP(AI49,'Rating Factors'!$AB:$AC,2,FALSE)="Decline",FALSE),
    IFERROR(VLOOKUP(AK49,'Rating Factors'!$AK:$AL,2,FALSE)="Decline",FALSE),
    IFERROR(VLOOKUP(AL49,'Rating Factors'!$AP:$AQ,2,FALSE)="Decline",FALSE)
  ),
  "Declined",
  SUM(
    W49,
    X49,
    Y49*
      IFERROR(VLOOKUP(AD49,'Rating Factors'!$BS:$BT,2,FALSE),1),
    Z49*
      IFERROR(VLOOKUP(AD49,'Rating Factors'!$BS:$BT,2,FALSE),1)*
      IFERROR(VLOOKUP(AC49,'Rating Factors'!$BV:$BW,2,FALSE),1),
  )
  * IFERROR(VLOOKUP(F49,'Rating Factors'!$A:$B,2,FALSE),1)
  * IFERROR(VLOOKUP(G49,'Rating Factors'!$C:$D,2,FALSE),1)
  * IFERROR(VLOOKUP(J49,'Rating Factors'!$F:$G,2,FALSE),1)
  * IFERROR(VLOOKUP(K49,'Rating Factors'!$H:$I,2,FALSE),1)
  * IFERROR(VLOOKUP(L49,'Rating Factors'!$J:$K,2,FALSE),1)
  * IFERROR(VLOOKUP(M49,'Rating Factors'!$L:$M,2,FALSE),1)
  * IFERROR(VLOOKUP(N49,'Rating Factors'!$N:$O,2,FALSE),1)
  * IFERROR(VLOOKUP(O49,'Rating Factors'!$P:$Q,2,FALSE),1)
  * IFERROR(VLOOKUP(P49,'Rating Factors'!$BO:$BP,2,FALSE),1)
  * IFERROR(VLOOKUP(Q49,'Rating Factors'!$BQ:$BR,2,FALSE),1)
  * IFERROR(VLOOKUP(R49,'Rating Factors'!$R:$S,2,FALSE),1)
  * IFERROR(VLOOKUP(S49,'Rating Factors'!$T:$U,2,FALSE),1)
  * IFERROR(VLOOKUP(T49,'Rating Factors'!$V:$W,2,FALSE),1)
  * IFERROR(VLOOKUP(U49,'Rating Factors'!$X:$Y,2,FALSE),1)
  * IFERROR(VLOOKUP(AI49,'Rating Factors'!$AB:$AC,2,FALSE),1)
  * IFERROR(VLOOKUP(AK49,'Rating Factors'!$AK:$AL,2,FALSE),1)
  * IFERROR(VLOOKUP(AL49,'Rating Factors'!$AP:$AQ,2,FALSE),1)
  * IFERROR(LOOKUP(SUM($W$8:$Z$127),'Rating Factors'!$BD:$BD,'Rating Factors'!$BE:$BE),1))</f>
        <v>0</v>
      </c>
      <c r="AY49" s="158">
        <f>IF(OR(AQ49="Declined", AN49&lt;&gt;"Y"),
   0,
   N(AT49)*N('Rating Factors'!$AG$2)/100
)</f>
        <v>0</v>
      </c>
      <c r="AZ49" s="158">
        <f t="shared" si="14"/>
        <v>0</v>
      </c>
      <c r="BA49" s="142">
        <f>_xlfn.LET(
  _xlpm.base_ok, AND(AQ49&lt;&gt;"Declined", N(AQ49)&gt;0),
  _xlpm.is_full, EXACT(AG49, "Full Limit"),
  _xlpm.total_tiv, SUM($AT$8:$AT$127),
  _xlpm.loc_tiv, N(BE49),
  _xlpm.full_rate, N('Rating Factors'!$AO$10),
  _xlpm.min_per_loc, N('Rating Factors'!$AN$10),
  _xlpm.n_locs, N(E46),
  _xlpm.sched_prem, MAX(_xlpm.total_tiv*_xlpm.full_rate, _xlpm.min_per_loc*_xlpm.n_locs),
  _xlpm.alloc_prem, IF(_xlpm.total_tiv=0, 0, _xlpm.sched_prem * _xlpm.loc_tiv / _xlpm.total_tiv),
  _xlpm.cap_prem, IFERROR(VLOOKUP(AG49, 'Rating Factors'!$AM:$AN, 2, FALSE), 0),
  IF(_xlpm.base_ok,
     IF(_xlpm.is_full, _xlpm.alloc_prem, _xlpm.cap_prem),
     0
  )
)</f>
        <v>0</v>
      </c>
      <c r="BB49" s="143">
        <f t="shared" si="12"/>
        <v>0</v>
      </c>
      <c r="BC49" s="144">
        <f t="shared" si="7"/>
        <v>0</v>
      </c>
      <c r="BD49" s="145">
        <f t="shared" si="8"/>
        <v>0</v>
      </c>
      <c r="BE49" s="115">
        <f t="shared" si="13"/>
        <v>0</v>
      </c>
      <c r="BF49" s="106" t="str">
        <f t="shared" si="9"/>
        <v/>
      </c>
      <c r="BG49"/>
      <c r="BI49" s="67" t="str" cm="1">
        <f t="array" ref="BI49">IF(E49="","",LEFT(_xlfn.REGEXEXTRACT(UPPER(E49),"[A-Z][0-9][A-Z][ -]?[0-9][A-Z][0-9]"),3))</f>
        <v/>
      </c>
      <c r="BJ49" s="66" t="str">
        <f>IF(E49="","",_xlfn.XLOOKUP(BI49, CrestaP!B:B, CrestaP!D:D, ""))</f>
        <v/>
      </c>
      <c r="BK49" s="66" t="str">
        <f>IFERROR(
  INDEX(
    CrestaP!H4:M9,
    MATCH(J49, {"Frame","Brick Veneer","Joisted Masonry","Non-Combustible","Masonry Non-Combustible","Fire resistive"}, 0),
    MATCH(TEXT(BJ49,"@"), {"16","E5","E4","E3","E2","E1"}, 0)
  ),
  ""
)</f>
        <v/>
      </c>
    </row>
    <row r="50" spans="2:63" hidden="1" x14ac:dyDescent="0.25">
      <c r="B50"/>
      <c r="C50" s="24">
        <f t="shared" si="10"/>
        <v>43</v>
      </c>
      <c r="D50" s="25" t="s">
        <v>30</v>
      </c>
      <c r="E50" s="175"/>
      <c r="F50" s="89"/>
      <c r="G50" s="89"/>
      <c r="H50" s="104"/>
      <c r="I50" s="104"/>
      <c r="J50" s="89"/>
      <c r="K50" s="89"/>
      <c r="L50" s="89"/>
      <c r="M50" s="89"/>
      <c r="N50" s="89"/>
      <c r="O50" s="89"/>
      <c r="P50" s="104"/>
      <c r="Q50" s="104"/>
      <c r="R50" s="89"/>
      <c r="S50" s="89"/>
      <c r="T50" s="89"/>
      <c r="U50" s="25"/>
      <c r="V50" s="119"/>
      <c r="W50" s="19"/>
      <c r="X50" s="104"/>
      <c r="Y50" s="104"/>
      <c r="Z50" s="104"/>
      <c r="AA50" s="19"/>
      <c r="AB50" s="160" t="str">
        <f>IF(OR(AA50="",G50=""),"",VLOOKUP(G50,'Rating Factors'!$C:$E,3,FALSE)*AA50)</f>
        <v/>
      </c>
      <c r="AC50" s="20"/>
      <c r="AD50" s="20"/>
      <c r="AE50" s="104"/>
      <c r="AF50" s="96"/>
      <c r="AG50" s="20"/>
      <c r="AH50" s="119"/>
      <c r="AI50" s="19"/>
      <c r="AJ50" s="19"/>
      <c r="AK50" s="19"/>
      <c r="AL50" s="96"/>
      <c r="AM50" s="119"/>
      <c r="AN50" s="19"/>
      <c r="AO50" s="20"/>
      <c r="AP50" s="119"/>
      <c r="AQ50" s="115">
        <f t="shared" si="2"/>
        <v>0</v>
      </c>
      <c r="AR50" s="171">
        <f>IF(OR(Z50="",N(Z50)=0),
IF(
N(H50)+N(I50)=0,
0,
MAX(
IFERROR(VLOOKUP(AE50,'Rating Factors'!$BJ:$BK,2,FALSE),0),
((N(H50)*'Rating Factors'!$BF$2)+(N(I50)*'Rating Factors'!$BG$2))
*IFERROR(VLOOKUP(AE50,'Rating Factors'!$Z:$AA,2,FALSE),1)
*IFERROR(VLOOKUP(AJ50,'Rating Factors'!$AD:$AE,2,FALSE),1)
*IFERROR(VLOOKUP(SUM($H$8:$H$127),'Rating Factors'!$BM:$BN,2),1)
*IFERROR(VLOOKUP(SUM($I$8:$I$127),'Rating Factors'!$BH:$BI,2),1)
)
),
MAX(IFERROR(VLOOKUP(AE50,'Rating Factors'!$BJ:$BL,3,FALSE),0),
((N(I50)*'Rating Factors'!$BG$2))
*IFERROR(VLOOKUP(AE50,'Rating Factors'!$Z:$AA,2,FALSE),1)
*IFERROR(VLOOKUP(AJ50,'Rating Factors'!$AD:$AE,2,FALSE),1)
*N(AA50)* IFERROR(VLOOKUP(G50,'Rating Factors'!$C:$D,2,FALSE),1)*0.0045
))</f>
        <v>0</v>
      </c>
      <c r="AS50" s="172">
        <f t="shared" si="3"/>
        <v>0</v>
      </c>
      <c r="AT50" s="115">
        <f t="shared" si="11"/>
        <v>0</v>
      </c>
      <c r="AU50" s="173" t="str">
        <f t="shared" si="4"/>
        <v/>
      </c>
      <c r="AV50" s="174" t="str">
        <f t="shared" si="5"/>
        <v/>
      </c>
      <c r="AW50" s="119"/>
      <c r="AX50" s="141">
        <f>IF(
  OR(
    IFERROR(VLOOKUP(F50,'Rating Factors'!$A:$B,2,FALSE)="Decline",FALSE),
    IFERROR(VLOOKUP(G50,'Rating Factors'!$C:$D,2,FALSE)="Decline",FALSE),
    IFERROR(VLOOKUP(J50,'Rating Factors'!$F:$G,2,FALSE)="Decline",FALSE),
    IFERROR(VLOOKUP(K50,'Rating Factors'!$H:$I,2,FALSE)="Decline",FALSE),
    IFERROR(VLOOKUP(L50,'Rating Factors'!$J:$K,2,FALSE)="Decline",FALSE),
    IFERROR(VLOOKUP(M50,'Rating Factors'!$L:$M,2,FALSE)="Decline",FALSE),
    IFERROR(VLOOKUP(N50,'Rating Factors'!$N:$O,2,FALSE)="Decline",FALSE),
    IFERROR(VLOOKUP(O50,'Rating Factors'!$P:$Q,2,FALSE)="Decline",FALSE),
    IFERROR(VLOOKUP(P50,'Rating Factors'!$BO:$BP,2,FALSE)="Decline",FALSE),
    IFERROR(VLOOKUP(Q50,'Rating Factors'!$BQ:$BR,2,FALSE)="Decline",FALSE),
    IFERROR(VLOOKUP(R50,'Rating Factors'!$R:$S,2,FALSE)="Decline",FALSE),
    IFERROR(VLOOKUP(S50,'Rating Factors'!$T:$U,2,FALSE)="Decline",FALSE),
    IFERROR(VLOOKUP(T50,'Rating Factors'!$V:$W,2,FALSE)="Decline",FALSE),
    IFERROR(VLOOKUP(U50,'Rating Factors'!$X:$Y,2,FALSE)="Decline",FALSE),
    IFERROR(VLOOKUP(AI50,'Rating Factors'!$AB:$AC,2,FALSE)="Decline",FALSE),
    IFERROR(VLOOKUP(AK50,'Rating Factors'!$AK:$AL,2,FALSE)="Decline",FALSE),
    IFERROR(VLOOKUP(AL50,'Rating Factors'!$AP:$AQ,2,FALSE)="Decline",FALSE)
  ),
  "Declined",
  SUM(
    W50,
    X50,
    Y50*
      IFERROR(VLOOKUP(AD50,'Rating Factors'!$BS:$BT,2,FALSE),1),
    Z50*
      IFERROR(VLOOKUP(AD50,'Rating Factors'!$BS:$BT,2,FALSE),1)*
      IFERROR(VLOOKUP(AC50,'Rating Factors'!$BV:$BW,2,FALSE),1),
  )
  * IFERROR(VLOOKUP(F50,'Rating Factors'!$A:$B,2,FALSE),1)
  * IFERROR(VLOOKUP(G50,'Rating Factors'!$C:$D,2,FALSE),1)
  * IFERROR(VLOOKUP(J50,'Rating Factors'!$F:$G,2,FALSE),1)
  * IFERROR(VLOOKUP(K50,'Rating Factors'!$H:$I,2,FALSE),1)
  * IFERROR(VLOOKUP(L50,'Rating Factors'!$J:$K,2,FALSE),1)
  * IFERROR(VLOOKUP(M50,'Rating Factors'!$L:$M,2,FALSE),1)
  * IFERROR(VLOOKUP(N50,'Rating Factors'!$N:$O,2,FALSE),1)
  * IFERROR(VLOOKUP(O50,'Rating Factors'!$P:$Q,2,FALSE),1)
  * IFERROR(VLOOKUP(P50,'Rating Factors'!$BO:$BP,2,FALSE),1)
  * IFERROR(VLOOKUP(Q50,'Rating Factors'!$BQ:$BR,2,FALSE),1)
  * IFERROR(VLOOKUP(R50,'Rating Factors'!$R:$S,2,FALSE),1)
  * IFERROR(VLOOKUP(S50,'Rating Factors'!$T:$U,2,FALSE),1)
  * IFERROR(VLOOKUP(T50,'Rating Factors'!$V:$W,2,FALSE),1)
  * IFERROR(VLOOKUP(U50,'Rating Factors'!$X:$Y,2,FALSE),1)
  * IFERROR(VLOOKUP(AI50,'Rating Factors'!$AB:$AC,2,FALSE),1)
  * IFERROR(VLOOKUP(AK50,'Rating Factors'!$AK:$AL,2,FALSE),1)
  * IFERROR(VLOOKUP(AL50,'Rating Factors'!$AP:$AQ,2,FALSE),1)
  * IFERROR(LOOKUP(SUM($W$8:$Z$127),'Rating Factors'!$BD:$BD,'Rating Factors'!$BE:$BE),1))</f>
        <v>0</v>
      </c>
      <c r="AY50" s="158">
        <f>IF(OR(AQ50="Declined", AN50&lt;&gt;"Y"),
   0,
   N(AT50)*N('Rating Factors'!$AG$2)/100
)</f>
        <v>0</v>
      </c>
      <c r="AZ50" s="158">
        <f t="shared" si="14"/>
        <v>0</v>
      </c>
      <c r="BA50" s="142">
        <f>_xlfn.LET(
  _xlpm.base_ok, AND(AQ50&lt;&gt;"Declined", N(AQ50)&gt;0),
  _xlpm.is_full, EXACT(AG50, "Full Limit"),
  _xlpm.total_tiv, SUM($AT$8:$AT$127),
  _xlpm.loc_tiv, N(BE50),
  _xlpm.full_rate, N('Rating Factors'!$AO$10),
  _xlpm.min_per_loc, N('Rating Factors'!$AN$10),
  _xlpm.n_locs, N(E47),
  _xlpm.sched_prem, MAX(_xlpm.total_tiv*_xlpm.full_rate, _xlpm.min_per_loc*_xlpm.n_locs),
  _xlpm.alloc_prem, IF(_xlpm.total_tiv=0, 0, _xlpm.sched_prem * _xlpm.loc_tiv / _xlpm.total_tiv),
  _xlpm.cap_prem, IFERROR(VLOOKUP(AG50, 'Rating Factors'!$AM:$AN, 2, FALSE), 0),
  IF(_xlpm.base_ok,
     IF(_xlpm.is_full, _xlpm.alloc_prem, _xlpm.cap_prem),
     0
  )
)</f>
        <v>0</v>
      </c>
      <c r="BB50" s="143">
        <f t="shared" si="12"/>
        <v>0</v>
      </c>
      <c r="BC50" s="144">
        <f t="shared" si="7"/>
        <v>0</v>
      </c>
      <c r="BD50" s="145">
        <f t="shared" si="8"/>
        <v>0</v>
      </c>
      <c r="BE50" s="115">
        <f t="shared" si="13"/>
        <v>0</v>
      </c>
      <c r="BF50" s="106" t="str">
        <f t="shared" si="9"/>
        <v/>
      </c>
      <c r="BG50"/>
      <c r="BI50" s="67" t="str" cm="1">
        <f t="array" ref="BI50">IF(E50="","",LEFT(_xlfn.REGEXEXTRACT(UPPER(E50),"[A-Z][0-9][A-Z][ -]?[0-9][A-Z][0-9]"),3))</f>
        <v/>
      </c>
      <c r="BJ50" s="66" t="str">
        <f>IF(E50="","",_xlfn.XLOOKUP(BI50, CrestaP!B:B, CrestaP!D:D, ""))</f>
        <v/>
      </c>
      <c r="BK50" s="66" t="str">
        <f>IFERROR(
  INDEX(
    CrestaP!H4:M9,
    MATCH(J50, {"Frame","Brick Veneer","Joisted Masonry","Non-Combustible","Masonry Non-Combustible","Fire resistive"}, 0),
    MATCH(TEXT(BJ50,"@"), {"16","E5","E4","E3","E2","E1"}, 0)
  ),
  ""
)</f>
        <v/>
      </c>
    </row>
    <row r="51" spans="2:63" hidden="1" x14ac:dyDescent="0.25">
      <c r="B51"/>
      <c r="C51" s="24">
        <f t="shared" si="10"/>
        <v>44</v>
      </c>
      <c r="D51" s="25" t="s">
        <v>30</v>
      </c>
      <c r="E51" s="175"/>
      <c r="F51" s="89"/>
      <c r="G51" s="89"/>
      <c r="H51" s="104"/>
      <c r="I51" s="104"/>
      <c r="J51" s="89"/>
      <c r="K51" s="89"/>
      <c r="L51" s="89"/>
      <c r="M51" s="89"/>
      <c r="N51" s="89"/>
      <c r="O51" s="89"/>
      <c r="P51" s="104"/>
      <c r="Q51" s="104"/>
      <c r="R51" s="89"/>
      <c r="S51" s="89"/>
      <c r="T51" s="89"/>
      <c r="U51" s="25"/>
      <c r="V51" s="119"/>
      <c r="W51" s="19"/>
      <c r="X51" s="104"/>
      <c r="Y51" s="104"/>
      <c r="Z51" s="104"/>
      <c r="AA51" s="19"/>
      <c r="AB51" s="160" t="str">
        <f>IF(OR(AA51="",G51=""),"",VLOOKUP(G51,'Rating Factors'!$C:$E,3,FALSE)*AA51)</f>
        <v/>
      </c>
      <c r="AC51" s="20"/>
      <c r="AD51" s="20"/>
      <c r="AE51" s="104"/>
      <c r="AF51" s="96"/>
      <c r="AG51" s="20"/>
      <c r="AH51" s="119"/>
      <c r="AI51" s="19"/>
      <c r="AJ51" s="19"/>
      <c r="AK51" s="19"/>
      <c r="AL51" s="96"/>
      <c r="AM51" s="119"/>
      <c r="AN51" s="19"/>
      <c r="AO51" s="20"/>
      <c r="AP51" s="119"/>
      <c r="AQ51" s="115">
        <f t="shared" si="2"/>
        <v>0</v>
      </c>
      <c r="AR51" s="171">
        <f>IF(OR(Z51="",N(Z51)=0),
IF(
N(H51)+N(I51)=0,
0,
MAX(
IFERROR(VLOOKUP(AE51,'Rating Factors'!$BJ:$BK,2,FALSE),0),
((N(H51)*'Rating Factors'!$BF$2)+(N(I51)*'Rating Factors'!$BG$2))
*IFERROR(VLOOKUP(AE51,'Rating Factors'!$Z:$AA,2,FALSE),1)
*IFERROR(VLOOKUP(AJ51,'Rating Factors'!$AD:$AE,2,FALSE),1)
*IFERROR(VLOOKUP(SUM($H$8:$H$127),'Rating Factors'!$BM:$BN,2),1)
*IFERROR(VLOOKUP(SUM($I$8:$I$127),'Rating Factors'!$BH:$BI,2),1)
)
),
MAX(IFERROR(VLOOKUP(AE51,'Rating Factors'!$BJ:$BL,3,FALSE),0),
((N(I51)*'Rating Factors'!$BG$2))
*IFERROR(VLOOKUP(AE51,'Rating Factors'!$Z:$AA,2,FALSE),1)
*IFERROR(VLOOKUP(AJ51,'Rating Factors'!$AD:$AE,2,FALSE),1)
*N(AA51)* IFERROR(VLOOKUP(G51,'Rating Factors'!$C:$D,2,FALSE),1)*0.0045
))</f>
        <v>0</v>
      </c>
      <c r="AS51" s="172">
        <f t="shared" si="3"/>
        <v>0</v>
      </c>
      <c r="AT51" s="115">
        <f t="shared" si="11"/>
        <v>0</v>
      </c>
      <c r="AU51" s="173" t="str">
        <f t="shared" si="4"/>
        <v/>
      </c>
      <c r="AV51" s="174" t="str">
        <f t="shared" si="5"/>
        <v/>
      </c>
      <c r="AW51" s="119"/>
      <c r="AX51" s="141">
        <f>IF(
  OR(
    IFERROR(VLOOKUP(F51,'Rating Factors'!$A:$B,2,FALSE)="Decline",FALSE),
    IFERROR(VLOOKUP(G51,'Rating Factors'!$C:$D,2,FALSE)="Decline",FALSE),
    IFERROR(VLOOKUP(J51,'Rating Factors'!$F:$G,2,FALSE)="Decline",FALSE),
    IFERROR(VLOOKUP(K51,'Rating Factors'!$H:$I,2,FALSE)="Decline",FALSE),
    IFERROR(VLOOKUP(L51,'Rating Factors'!$J:$K,2,FALSE)="Decline",FALSE),
    IFERROR(VLOOKUP(M51,'Rating Factors'!$L:$M,2,FALSE)="Decline",FALSE),
    IFERROR(VLOOKUP(N51,'Rating Factors'!$N:$O,2,FALSE)="Decline",FALSE),
    IFERROR(VLOOKUP(O51,'Rating Factors'!$P:$Q,2,FALSE)="Decline",FALSE),
    IFERROR(VLOOKUP(P51,'Rating Factors'!$BO:$BP,2,FALSE)="Decline",FALSE),
    IFERROR(VLOOKUP(Q51,'Rating Factors'!$BQ:$BR,2,FALSE)="Decline",FALSE),
    IFERROR(VLOOKUP(R51,'Rating Factors'!$R:$S,2,FALSE)="Decline",FALSE),
    IFERROR(VLOOKUP(S51,'Rating Factors'!$T:$U,2,FALSE)="Decline",FALSE),
    IFERROR(VLOOKUP(T51,'Rating Factors'!$V:$W,2,FALSE)="Decline",FALSE),
    IFERROR(VLOOKUP(U51,'Rating Factors'!$X:$Y,2,FALSE)="Decline",FALSE),
    IFERROR(VLOOKUP(AI51,'Rating Factors'!$AB:$AC,2,FALSE)="Decline",FALSE),
    IFERROR(VLOOKUP(AK51,'Rating Factors'!$AK:$AL,2,FALSE)="Decline",FALSE),
    IFERROR(VLOOKUP(AL51,'Rating Factors'!$AP:$AQ,2,FALSE)="Decline",FALSE)
  ),
  "Declined",
  SUM(
    W51,
    X51,
    Y51*
      IFERROR(VLOOKUP(AD51,'Rating Factors'!$BS:$BT,2,FALSE),1),
    Z51*
      IFERROR(VLOOKUP(AD51,'Rating Factors'!$BS:$BT,2,FALSE),1)*
      IFERROR(VLOOKUP(AC51,'Rating Factors'!$BV:$BW,2,FALSE),1),
  )
  * IFERROR(VLOOKUP(F51,'Rating Factors'!$A:$B,2,FALSE),1)
  * IFERROR(VLOOKUP(G51,'Rating Factors'!$C:$D,2,FALSE),1)
  * IFERROR(VLOOKUP(J51,'Rating Factors'!$F:$G,2,FALSE),1)
  * IFERROR(VLOOKUP(K51,'Rating Factors'!$H:$I,2,FALSE),1)
  * IFERROR(VLOOKUP(L51,'Rating Factors'!$J:$K,2,FALSE),1)
  * IFERROR(VLOOKUP(M51,'Rating Factors'!$L:$M,2,FALSE),1)
  * IFERROR(VLOOKUP(N51,'Rating Factors'!$N:$O,2,FALSE),1)
  * IFERROR(VLOOKUP(O51,'Rating Factors'!$P:$Q,2,FALSE),1)
  * IFERROR(VLOOKUP(P51,'Rating Factors'!$BO:$BP,2,FALSE),1)
  * IFERROR(VLOOKUP(Q51,'Rating Factors'!$BQ:$BR,2,FALSE),1)
  * IFERROR(VLOOKUP(R51,'Rating Factors'!$R:$S,2,FALSE),1)
  * IFERROR(VLOOKUP(S51,'Rating Factors'!$T:$U,2,FALSE),1)
  * IFERROR(VLOOKUP(T51,'Rating Factors'!$V:$W,2,FALSE),1)
  * IFERROR(VLOOKUP(U51,'Rating Factors'!$X:$Y,2,FALSE),1)
  * IFERROR(VLOOKUP(AI51,'Rating Factors'!$AB:$AC,2,FALSE),1)
  * IFERROR(VLOOKUP(AK51,'Rating Factors'!$AK:$AL,2,FALSE),1)
  * IFERROR(VLOOKUP(AL51,'Rating Factors'!$AP:$AQ,2,FALSE),1)
  * IFERROR(LOOKUP(SUM($W$8:$Z$127),'Rating Factors'!$BD:$BD,'Rating Factors'!$BE:$BE),1))</f>
        <v>0</v>
      </c>
      <c r="AY51" s="158">
        <f>IF(OR(AQ51="Declined", AN51&lt;&gt;"Y"),
   0,
   N(AT51)*N('Rating Factors'!$AG$2)/100
)</f>
        <v>0</v>
      </c>
      <c r="AZ51" s="158">
        <f t="shared" si="14"/>
        <v>0</v>
      </c>
      <c r="BA51" s="142">
        <f>_xlfn.LET(
  _xlpm.base_ok, AND(AQ51&lt;&gt;"Declined", N(AQ51)&gt;0),
  _xlpm.is_full, EXACT(AG51, "Full Limit"),
  _xlpm.total_tiv, SUM($AT$8:$AT$127),
  _xlpm.loc_tiv, N(BE51),
  _xlpm.full_rate, N('Rating Factors'!$AO$10),
  _xlpm.min_per_loc, N('Rating Factors'!$AN$10),
  _xlpm.n_locs, N(E48),
  _xlpm.sched_prem, MAX(_xlpm.total_tiv*_xlpm.full_rate, _xlpm.min_per_loc*_xlpm.n_locs),
  _xlpm.alloc_prem, IF(_xlpm.total_tiv=0, 0, _xlpm.sched_prem * _xlpm.loc_tiv / _xlpm.total_tiv),
  _xlpm.cap_prem, IFERROR(VLOOKUP(AG51, 'Rating Factors'!$AM:$AN, 2, FALSE), 0),
  IF(_xlpm.base_ok,
     IF(_xlpm.is_full, _xlpm.alloc_prem, _xlpm.cap_prem),
     0
  )
)</f>
        <v>0</v>
      </c>
      <c r="BB51" s="143">
        <f t="shared" si="12"/>
        <v>0</v>
      </c>
      <c r="BC51" s="144">
        <f t="shared" si="7"/>
        <v>0</v>
      </c>
      <c r="BD51" s="145">
        <f t="shared" si="8"/>
        <v>0</v>
      </c>
      <c r="BE51" s="115">
        <f t="shared" si="13"/>
        <v>0</v>
      </c>
      <c r="BF51" s="106" t="str">
        <f t="shared" si="9"/>
        <v/>
      </c>
      <c r="BG51"/>
      <c r="BI51" s="67" t="str" cm="1">
        <f t="array" ref="BI51">IF(E51="","",LEFT(_xlfn.REGEXEXTRACT(UPPER(E51),"[A-Z][0-9][A-Z][ -]?[0-9][A-Z][0-9]"),3))</f>
        <v/>
      </c>
      <c r="BJ51" s="66" t="str">
        <f>IF(E51="","",_xlfn.XLOOKUP(BI51, CrestaP!B:B, CrestaP!D:D, ""))</f>
        <v/>
      </c>
      <c r="BK51" s="66" t="str">
        <f>IFERROR(
  INDEX(
    CrestaP!H4:M9,
    MATCH(J51, {"Frame","Brick Veneer","Joisted Masonry","Non-Combustible","Masonry Non-Combustible","Fire resistive"}, 0),
    MATCH(TEXT(BJ51,"@"), {"16","E5","E4","E3","E2","E1"}, 0)
  ),
  ""
)</f>
        <v/>
      </c>
    </row>
    <row r="52" spans="2:63" hidden="1" x14ac:dyDescent="0.25">
      <c r="B52"/>
      <c r="C52" s="24">
        <f t="shared" si="10"/>
        <v>45</v>
      </c>
      <c r="D52" s="25" t="s">
        <v>30</v>
      </c>
      <c r="E52" s="175"/>
      <c r="F52" s="89"/>
      <c r="G52" s="89"/>
      <c r="H52" s="104"/>
      <c r="I52" s="104"/>
      <c r="J52" s="89"/>
      <c r="K52" s="89"/>
      <c r="L52" s="89"/>
      <c r="M52" s="89"/>
      <c r="N52" s="89"/>
      <c r="O52" s="89"/>
      <c r="P52" s="104"/>
      <c r="Q52" s="104"/>
      <c r="R52" s="89"/>
      <c r="S52" s="89"/>
      <c r="T52" s="89"/>
      <c r="U52" s="25"/>
      <c r="V52" s="119"/>
      <c r="W52" s="19"/>
      <c r="X52" s="104"/>
      <c r="Y52" s="104"/>
      <c r="Z52" s="104"/>
      <c r="AA52" s="19"/>
      <c r="AB52" s="160" t="str">
        <f>IF(OR(AA52="",G52=""),"",VLOOKUP(G52,'Rating Factors'!$C:$E,3,FALSE)*AA52)</f>
        <v/>
      </c>
      <c r="AC52" s="20"/>
      <c r="AD52" s="20"/>
      <c r="AE52" s="104"/>
      <c r="AF52" s="96"/>
      <c r="AG52" s="20"/>
      <c r="AH52" s="119"/>
      <c r="AI52" s="19"/>
      <c r="AJ52" s="19"/>
      <c r="AK52" s="19"/>
      <c r="AL52" s="96"/>
      <c r="AM52" s="119"/>
      <c r="AN52" s="19"/>
      <c r="AO52" s="20"/>
      <c r="AP52" s="119"/>
      <c r="AQ52" s="115">
        <f t="shared" si="2"/>
        <v>0</v>
      </c>
      <c r="AR52" s="171">
        <f>IF(OR(Z52="",N(Z52)=0),
IF(
N(H52)+N(I52)=0,
0,
MAX(
IFERROR(VLOOKUP(AE52,'Rating Factors'!$BJ:$BK,2,FALSE),0),
((N(H52)*'Rating Factors'!$BF$2)+(N(I52)*'Rating Factors'!$BG$2))
*IFERROR(VLOOKUP(AE52,'Rating Factors'!$Z:$AA,2,FALSE),1)
*IFERROR(VLOOKUP(AJ52,'Rating Factors'!$AD:$AE,2,FALSE),1)
*IFERROR(VLOOKUP(SUM($H$8:$H$127),'Rating Factors'!$BM:$BN,2),1)
*IFERROR(VLOOKUP(SUM($I$8:$I$127),'Rating Factors'!$BH:$BI,2),1)
)
),
MAX(IFERROR(VLOOKUP(AE52,'Rating Factors'!$BJ:$BL,3,FALSE),0),
((N(I52)*'Rating Factors'!$BG$2))
*IFERROR(VLOOKUP(AE52,'Rating Factors'!$Z:$AA,2,FALSE),1)
*IFERROR(VLOOKUP(AJ52,'Rating Factors'!$AD:$AE,2,FALSE),1)
*N(AA52)* IFERROR(VLOOKUP(G52,'Rating Factors'!$C:$D,2,FALSE),1)*0.0045
))</f>
        <v>0</v>
      </c>
      <c r="AS52" s="172">
        <f t="shared" si="3"/>
        <v>0</v>
      </c>
      <c r="AT52" s="115">
        <f t="shared" si="11"/>
        <v>0</v>
      </c>
      <c r="AU52" s="173" t="str">
        <f t="shared" si="4"/>
        <v/>
      </c>
      <c r="AV52" s="174" t="str">
        <f t="shared" si="5"/>
        <v/>
      </c>
      <c r="AW52" s="119"/>
      <c r="AX52" s="141">
        <f>IF(
  OR(
    IFERROR(VLOOKUP(F52,'Rating Factors'!$A:$B,2,FALSE)="Decline",FALSE),
    IFERROR(VLOOKUP(G52,'Rating Factors'!$C:$D,2,FALSE)="Decline",FALSE),
    IFERROR(VLOOKUP(J52,'Rating Factors'!$F:$G,2,FALSE)="Decline",FALSE),
    IFERROR(VLOOKUP(K52,'Rating Factors'!$H:$I,2,FALSE)="Decline",FALSE),
    IFERROR(VLOOKUP(L52,'Rating Factors'!$J:$K,2,FALSE)="Decline",FALSE),
    IFERROR(VLOOKUP(M52,'Rating Factors'!$L:$M,2,FALSE)="Decline",FALSE),
    IFERROR(VLOOKUP(N52,'Rating Factors'!$N:$O,2,FALSE)="Decline",FALSE),
    IFERROR(VLOOKUP(O52,'Rating Factors'!$P:$Q,2,FALSE)="Decline",FALSE),
    IFERROR(VLOOKUP(P52,'Rating Factors'!$BO:$BP,2,FALSE)="Decline",FALSE),
    IFERROR(VLOOKUP(Q52,'Rating Factors'!$BQ:$BR,2,FALSE)="Decline",FALSE),
    IFERROR(VLOOKUP(R52,'Rating Factors'!$R:$S,2,FALSE)="Decline",FALSE),
    IFERROR(VLOOKUP(S52,'Rating Factors'!$T:$U,2,FALSE)="Decline",FALSE),
    IFERROR(VLOOKUP(T52,'Rating Factors'!$V:$W,2,FALSE)="Decline",FALSE),
    IFERROR(VLOOKUP(U52,'Rating Factors'!$X:$Y,2,FALSE)="Decline",FALSE),
    IFERROR(VLOOKUP(AI52,'Rating Factors'!$AB:$AC,2,FALSE)="Decline",FALSE),
    IFERROR(VLOOKUP(AK52,'Rating Factors'!$AK:$AL,2,FALSE)="Decline",FALSE),
    IFERROR(VLOOKUP(AL52,'Rating Factors'!$AP:$AQ,2,FALSE)="Decline",FALSE)
  ),
  "Declined",
  SUM(
    W52,
    X52,
    Y52*
      IFERROR(VLOOKUP(AD52,'Rating Factors'!$BS:$BT,2,FALSE),1),
    Z52*
      IFERROR(VLOOKUP(AD52,'Rating Factors'!$BS:$BT,2,FALSE),1)*
      IFERROR(VLOOKUP(AC52,'Rating Factors'!$BV:$BW,2,FALSE),1),
  )
  * IFERROR(VLOOKUP(F52,'Rating Factors'!$A:$B,2,FALSE),1)
  * IFERROR(VLOOKUP(G52,'Rating Factors'!$C:$D,2,FALSE),1)
  * IFERROR(VLOOKUP(J52,'Rating Factors'!$F:$G,2,FALSE),1)
  * IFERROR(VLOOKUP(K52,'Rating Factors'!$H:$I,2,FALSE),1)
  * IFERROR(VLOOKUP(L52,'Rating Factors'!$J:$K,2,FALSE),1)
  * IFERROR(VLOOKUP(M52,'Rating Factors'!$L:$M,2,FALSE),1)
  * IFERROR(VLOOKUP(N52,'Rating Factors'!$N:$O,2,FALSE),1)
  * IFERROR(VLOOKUP(O52,'Rating Factors'!$P:$Q,2,FALSE),1)
  * IFERROR(VLOOKUP(P52,'Rating Factors'!$BO:$BP,2,FALSE),1)
  * IFERROR(VLOOKUP(Q52,'Rating Factors'!$BQ:$BR,2,FALSE),1)
  * IFERROR(VLOOKUP(R52,'Rating Factors'!$R:$S,2,FALSE),1)
  * IFERROR(VLOOKUP(S52,'Rating Factors'!$T:$U,2,FALSE),1)
  * IFERROR(VLOOKUP(T52,'Rating Factors'!$V:$W,2,FALSE),1)
  * IFERROR(VLOOKUP(U52,'Rating Factors'!$X:$Y,2,FALSE),1)
  * IFERROR(VLOOKUP(AI52,'Rating Factors'!$AB:$AC,2,FALSE),1)
  * IFERROR(VLOOKUP(AK52,'Rating Factors'!$AK:$AL,2,FALSE),1)
  * IFERROR(VLOOKUP(AL52,'Rating Factors'!$AP:$AQ,2,FALSE),1)
  * IFERROR(LOOKUP(SUM($W$8:$Z$127),'Rating Factors'!$BD:$BD,'Rating Factors'!$BE:$BE),1))</f>
        <v>0</v>
      </c>
      <c r="AY52" s="158">
        <f>IF(OR(AQ52="Declined", AN52&lt;&gt;"Y"),
   0,
   N(AT52)*N('Rating Factors'!$AG$2)/100
)</f>
        <v>0</v>
      </c>
      <c r="AZ52" s="158">
        <f t="shared" si="14"/>
        <v>0</v>
      </c>
      <c r="BA52" s="142">
        <f>_xlfn.LET(
  _xlpm.base_ok, AND(AQ52&lt;&gt;"Declined", N(AQ52)&gt;0),
  _xlpm.is_full, EXACT(AG52, "Full Limit"),
  _xlpm.total_tiv, SUM($AT$8:$AT$127),
  _xlpm.loc_tiv, N(BE52),
  _xlpm.full_rate, N('Rating Factors'!$AO$10),
  _xlpm.min_per_loc, N('Rating Factors'!$AN$10),
  _xlpm.n_locs, N(E49),
  _xlpm.sched_prem, MAX(_xlpm.total_tiv*_xlpm.full_rate, _xlpm.min_per_loc*_xlpm.n_locs),
  _xlpm.alloc_prem, IF(_xlpm.total_tiv=0, 0, _xlpm.sched_prem * _xlpm.loc_tiv / _xlpm.total_tiv),
  _xlpm.cap_prem, IFERROR(VLOOKUP(AG52, 'Rating Factors'!$AM:$AN, 2, FALSE), 0),
  IF(_xlpm.base_ok,
     IF(_xlpm.is_full, _xlpm.alloc_prem, _xlpm.cap_prem),
     0
  )
)</f>
        <v>0</v>
      </c>
      <c r="BB52" s="143">
        <f t="shared" si="12"/>
        <v>0</v>
      </c>
      <c r="BC52" s="144">
        <f t="shared" si="7"/>
        <v>0</v>
      </c>
      <c r="BD52" s="145">
        <f t="shared" si="8"/>
        <v>0</v>
      </c>
      <c r="BE52" s="115">
        <f t="shared" si="13"/>
        <v>0</v>
      </c>
      <c r="BF52" s="106" t="str">
        <f t="shared" si="9"/>
        <v/>
      </c>
      <c r="BG52"/>
      <c r="BI52" s="67" t="str" cm="1">
        <f t="array" ref="BI52">IF(E52="","",LEFT(_xlfn.REGEXEXTRACT(UPPER(E52),"[A-Z][0-9][A-Z][ -]?[0-9][A-Z][0-9]"),3))</f>
        <v/>
      </c>
      <c r="BJ52" s="66" t="str">
        <f>IF(E52="","",_xlfn.XLOOKUP(BI52, CrestaP!B:B, CrestaP!D:D, ""))</f>
        <v/>
      </c>
      <c r="BK52" s="66" t="str">
        <f>IFERROR(
  INDEX(
    CrestaP!H4:M9,
    MATCH(J52, {"Frame","Brick Veneer","Joisted Masonry","Non-Combustible","Masonry Non-Combustible","Fire resistive"}, 0),
    MATCH(TEXT(BJ52,"@"), {"16","E5","E4","E3","E2","E1"}, 0)
  ),
  ""
)</f>
        <v/>
      </c>
    </row>
    <row r="53" spans="2:63" hidden="1" x14ac:dyDescent="0.25">
      <c r="B53"/>
      <c r="C53" s="24">
        <f t="shared" si="10"/>
        <v>46</v>
      </c>
      <c r="D53" s="25" t="s">
        <v>30</v>
      </c>
      <c r="E53" s="175"/>
      <c r="F53" s="89"/>
      <c r="G53" s="89"/>
      <c r="H53" s="104"/>
      <c r="I53" s="104"/>
      <c r="J53" s="89"/>
      <c r="K53" s="89"/>
      <c r="L53" s="89"/>
      <c r="M53" s="89"/>
      <c r="N53" s="89"/>
      <c r="O53" s="89"/>
      <c r="P53" s="104"/>
      <c r="Q53" s="104"/>
      <c r="R53" s="89"/>
      <c r="S53" s="89"/>
      <c r="T53" s="89"/>
      <c r="U53" s="25"/>
      <c r="V53" s="119"/>
      <c r="W53" s="19"/>
      <c r="X53" s="104"/>
      <c r="Y53" s="104"/>
      <c r="Z53" s="104"/>
      <c r="AA53" s="19"/>
      <c r="AB53" s="160" t="str">
        <f>IF(OR(AA53="",G53=""),"",VLOOKUP(G53,'Rating Factors'!$C:$E,3,FALSE)*AA53)</f>
        <v/>
      </c>
      <c r="AC53" s="20"/>
      <c r="AD53" s="20"/>
      <c r="AE53" s="104"/>
      <c r="AF53" s="96"/>
      <c r="AG53" s="20"/>
      <c r="AH53" s="119"/>
      <c r="AI53" s="19"/>
      <c r="AJ53" s="19"/>
      <c r="AK53" s="19"/>
      <c r="AL53" s="96"/>
      <c r="AM53" s="119"/>
      <c r="AN53" s="19"/>
      <c r="AO53" s="20"/>
      <c r="AP53" s="119"/>
      <c r="AQ53" s="115">
        <f t="shared" si="2"/>
        <v>0</v>
      </c>
      <c r="AR53" s="171">
        <f>IF(OR(Z53="",N(Z53)=0),
IF(
N(H53)+N(I53)=0,
0,
MAX(
IFERROR(VLOOKUP(AE53,'Rating Factors'!$BJ:$BK,2,FALSE),0),
((N(H53)*'Rating Factors'!$BF$2)+(N(I53)*'Rating Factors'!$BG$2))
*IFERROR(VLOOKUP(AE53,'Rating Factors'!$Z:$AA,2,FALSE),1)
*IFERROR(VLOOKUP(AJ53,'Rating Factors'!$AD:$AE,2,FALSE),1)
*IFERROR(VLOOKUP(SUM($H$8:$H$127),'Rating Factors'!$BM:$BN,2),1)
*IFERROR(VLOOKUP(SUM($I$8:$I$127),'Rating Factors'!$BH:$BI,2),1)
)
),
MAX(IFERROR(VLOOKUP(AE53,'Rating Factors'!$BJ:$BL,3,FALSE),0),
((N(I53)*'Rating Factors'!$BG$2))
*IFERROR(VLOOKUP(AE53,'Rating Factors'!$Z:$AA,2,FALSE),1)
*IFERROR(VLOOKUP(AJ53,'Rating Factors'!$AD:$AE,2,FALSE),1)
*N(AA53)* IFERROR(VLOOKUP(G53,'Rating Factors'!$C:$D,2,FALSE),1)*0.0045
))</f>
        <v>0</v>
      </c>
      <c r="AS53" s="172">
        <f t="shared" si="3"/>
        <v>0</v>
      </c>
      <c r="AT53" s="115">
        <f t="shared" si="11"/>
        <v>0</v>
      </c>
      <c r="AU53" s="173" t="str">
        <f t="shared" si="4"/>
        <v/>
      </c>
      <c r="AV53" s="174" t="str">
        <f t="shared" si="5"/>
        <v/>
      </c>
      <c r="AW53" s="119"/>
      <c r="AX53" s="141">
        <f>IF(
  OR(
    IFERROR(VLOOKUP(F53,'Rating Factors'!$A:$B,2,FALSE)="Decline",FALSE),
    IFERROR(VLOOKUP(G53,'Rating Factors'!$C:$D,2,FALSE)="Decline",FALSE),
    IFERROR(VLOOKUP(J53,'Rating Factors'!$F:$G,2,FALSE)="Decline",FALSE),
    IFERROR(VLOOKUP(K53,'Rating Factors'!$H:$I,2,FALSE)="Decline",FALSE),
    IFERROR(VLOOKUP(L53,'Rating Factors'!$J:$K,2,FALSE)="Decline",FALSE),
    IFERROR(VLOOKUP(M53,'Rating Factors'!$L:$M,2,FALSE)="Decline",FALSE),
    IFERROR(VLOOKUP(N53,'Rating Factors'!$N:$O,2,FALSE)="Decline",FALSE),
    IFERROR(VLOOKUP(O53,'Rating Factors'!$P:$Q,2,FALSE)="Decline",FALSE),
    IFERROR(VLOOKUP(P53,'Rating Factors'!$BO:$BP,2,FALSE)="Decline",FALSE),
    IFERROR(VLOOKUP(Q53,'Rating Factors'!$BQ:$BR,2,FALSE)="Decline",FALSE),
    IFERROR(VLOOKUP(R53,'Rating Factors'!$R:$S,2,FALSE)="Decline",FALSE),
    IFERROR(VLOOKUP(S53,'Rating Factors'!$T:$U,2,FALSE)="Decline",FALSE),
    IFERROR(VLOOKUP(T53,'Rating Factors'!$V:$W,2,FALSE)="Decline",FALSE),
    IFERROR(VLOOKUP(U53,'Rating Factors'!$X:$Y,2,FALSE)="Decline",FALSE),
    IFERROR(VLOOKUP(AI53,'Rating Factors'!$AB:$AC,2,FALSE)="Decline",FALSE),
    IFERROR(VLOOKUP(AK53,'Rating Factors'!$AK:$AL,2,FALSE)="Decline",FALSE),
    IFERROR(VLOOKUP(AL53,'Rating Factors'!$AP:$AQ,2,FALSE)="Decline",FALSE)
  ),
  "Declined",
  SUM(
    W53,
    X53,
    Y53*
      IFERROR(VLOOKUP(AD53,'Rating Factors'!$BS:$BT,2,FALSE),1),
    Z53*
      IFERROR(VLOOKUP(AD53,'Rating Factors'!$BS:$BT,2,FALSE),1)*
      IFERROR(VLOOKUP(AC53,'Rating Factors'!$BV:$BW,2,FALSE),1),
  )
  * IFERROR(VLOOKUP(F53,'Rating Factors'!$A:$B,2,FALSE),1)
  * IFERROR(VLOOKUP(G53,'Rating Factors'!$C:$D,2,FALSE),1)
  * IFERROR(VLOOKUP(J53,'Rating Factors'!$F:$G,2,FALSE),1)
  * IFERROR(VLOOKUP(K53,'Rating Factors'!$H:$I,2,FALSE),1)
  * IFERROR(VLOOKUP(L53,'Rating Factors'!$J:$K,2,FALSE),1)
  * IFERROR(VLOOKUP(M53,'Rating Factors'!$L:$M,2,FALSE),1)
  * IFERROR(VLOOKUP(N53,'Rating Factors'!$N:$O,2,FALSE),1)
  * IFERROR(VLOOKUP(O53,'Rating Factors'!$P:$Q,2,FALSE),1)
  * IFERROR(VLOOKUP(P53,'Rating Factors'!$BO:$BP,2,FALSE),1)
  * IFERROR(VLOOKUP(Q53,'Rating Factors'!$BQ:$BR,2,FALSE),1)
  * IFERROR(VLOOKUP(R53,'Rating Factors'!$R:$S,2,FALSE),1)
  * IFERROR(VLOOKUP(S53,'Rating Factors'!$T:$U,2,FALSE),1)
  * IFERROR(VLOOKUP(T53,'Rating Factors'!$V:$W,2,FALSE),1)
  * IFERROR(VLOOKUP(U53,'Rating Factors'!$X:$Y,2,FALSE),1)
  * IFERROR(VLOOKUP(AI53,'Rating Factors'!$AB:$AC,2,FALSE),1)
  * IFERROR(VLOOKUP(AK53,'Rating Factors'!$AK:$AL,2,FALSE),1)
  * IFERROR(VLOOKUP(AL53,'Rating Factors'!$AP:$AQ,2,FALSE),1)
  * IFERROR(LOOKUP(SUM($W$8:$Z$127),'Rating Factors'!$BD:$BD,'Rating Factors'!$BE:$BE),1))</f>
        <v>0</v>
      </c>
      <c r="AY53" s="158">
        <f>IF(OR(AQ53="Declined", AN53&lt;&gt;"Y"),
   0,
   N(AT53)*N('Rating Factors'!$AG$2)/100
)</f>
        <v>0</v>
      </c>
      <c r="AZ53" s="158">
        <f t="shared" si="14"/>
        <v>0</v>
      </c>
      <c r="BA53" s="142">
        <f>_xlfn.LET(
  _xlpm.base_ok, AND(AQ53&lt;&gt;"Declined", N(AQ53)&gt;0),
  _xlpm.is_full, EXACT(AG53, "Full Limit"),
  _xlpm.total_tiv, SUM($AT$8:$AT$127),
  _xlpm.loc_tiv, N(BE53),
  _xlpm.full_rate, N('Rating Factors'!$AO$10),
  _xlpm.min_per_loc, N('Rating Factors'!$AN$10),
  _xlpm.n_locs, N(E50),
  _xlpm.sched_prem, MAX(_xlpm.total_tiv*_xlpm.full_rate, _xlpm.min_per_loc*_xlpm.n_locs),
  _xlpm.alloc_prem, IF(_xlpm.total_tiv=0, 0, _xlpm.sched_prem * _xlpm.loc_tiv / _xlpm.total_tiv),
  _xlpm.cap_prem, IFERROR(VLOOKUP(AG53, 'Rating Factors'!$AM:$AN, 2, FALSE), 0),
  IF(_xlpm.base_ok,
     IF(_xlpm.is_full, _xlpm.alloc_prem, _xlpm.cap_prem),
     0
  )
)</f>
        <v>0</v>
      </c>
      <c r="BB53" s="143">
        <f t="shared" si="12"/>
        <v>0</v>
      </c>
      <c r="BC53" s="144">
        <f t="shared" si="7"/>
        <v>0</v>
      </c>
      <c r="BD53" s="145">
        <f t="shared" si="8"/>
        <v>0</v>
      </c>
      <c r="BE53" s="115">
        <f t="shared" si="13"/>
        <v>0</v>
      </c>
      <c r="BF53" s="106" t="str">
        <f t="shared" si="9"/>
        <v/>
      </c>
      <c r="BG53"/>
      <c r="BI53" s="67" t="str" cm="1">
        <f t="array" ref="BI53">IF(E53="","",LEFT(_xlfn.REGEXEXTRACT(UPPER(E53),"[A-Z][0-9][A-Z][ -]?[0-9][A-Z][0-9]"),3))</f>
        <v/>
      </c>
      <c r="BJ53" s="66" t="str">
        <f>IF(E53="","",_xlfn.XLOOKUP(BI53, CrestaP!B:B, CrestaP!D:D, ""))</f>
        <v/>
      </c>
      <c r="BK53" s="66" t="str">
        <f>IFERROR(
  INDEX(
    CrestaP!H4:M9,
    MATCH(J53, {"Frame","Brick Veneer","Joisted Masonry","Non-Combustible","Masonry Non-Combustible","Fire resistive"}, 0),
    MATCH(TEXT(BJ53,"@"), {"16","E5","E4","E3","E2","E1"}, 0)
  ),
  ""
)</f>
        <v/>
      </c>
    </row>
    <row r="54" spans="2:63" hidden="1" x14ac:dyDescent="0.25">
      <c r="B54"/>
      <c r="C54" s="24">
        <f t="shared" si="10"/>
        <v>47</v>
      </c>
      <c r="D54" s="25" t="s">
        <v>30</v>
      </c>
      <c r="E54" s="175"/>
      <c r="F54" s="89"/>
      <c r="G54" s="89"/>
      <c r="H54" s="104"/>
      <c r="I54" s="104"/>
      <c r="J54" s="89"/>
      <c r="K54" s="89"/>
      <c r="L54" s="89"/>
      <c r="M54" s="89"/>
      <c r="N54" s="89"/>
      <c r="O54" s="89"/>
      <c r="P54" s="104"/>
      <c r="Q54" s="104"/>
      <c r="R54" s="89"/>
      <c r="S54" s="89"/>
      <c r="T54" s="89"/>
      <c r="U54" s="25"/>
      <c r="V54" s="119"/>
      <c r="W54" s="19"/>
      <c r="X54" s="104"/>
      <c r="Y54" s="104"/>
      <c r="Z54" s="104"/>
      <c r="AA54" s="19"/>
      <c r="AB54" s="160" t="str">
        <f>IF(OR(AA54="",G54=""),"",VLOOKUP(G54,'Rating Factors'!$C:$E,3,FALSE)*AA54)</f>
        <v/>
      </c>
      <c r="AC54" s="20"/>
      <c r="AD54" s="20"/>
      <c r="AE54" s="104"/>
      <c r="AF54" s="96"/>
      <c r="AG54" s="20"/>
      <c r="AH54" s="119"/>
      <c r="AI54" s="19"/>
      <c r="AJ54" s="19"/>
      <c r="AK54" s="19"/>
      <c r="AL54" s="96"/>
      <c r="AM54" s="119"/>
      <c r="AN54" s="19"/>
      <c r="AO54" s="20"/>
      <c r="AP54" s="119"/>
      <c r="AQ54" s="115">
        <f t="shared" si="2"/>
        <v>0</v>
      </c>
      <c r="AR54" s="171">
        <f>IF(OR(Z54="",N(Z54)=0),
IF(
N(H54)+N(I54)=0,
0,
MAX(
IFERROR(VLOOKUP(AE54,'Rating Factors'!$BJ:$BK,2,FALSE),0),
((N(H54)*'Rating Factors'!$BF$2)+(N(I54)*'Rating Factors'!$BG$2))
*IFERROR(VLOOKUP(AE54,'Rating Factors'!$Z:$AA,2,FALSE),1)
*IFERROR(VLOOKUP(AJ54,'Rating Factors'!$AD:$AE,2,FALSE),1)
*IFERROR(VLOOKUP(SUM($H$8:$H$127),'Rating Factors'!$BM:$BN,2),1)
*IFERROR(VLOOKUP(SUM($I$8:$I$127),'Rating Factors'!$BH:$BI,2),1)
)
),
MAX(IFERROR(VLOOKUP(AE54,'Rating Factors'!$BJ:$BL,3,FALSE),0),
((N(I54)*'Rating Factors'!$BG$2))
*IFERROR(VLOOKUP(AE54,'Rating Factors'!$Z:$AA,2,FALSE),1)
*IFERROR(VLOOKUP(AJ54,'Rating Factors'!$AD:$AE,2,FALSE),1)
*N(AA54)* IFERROR(VLOOKUP(G54,'Rating Factors'!$C:$D,2,FALSE),1)*0.0045
))</f>
        <v>0</v>
      </c>
      <c r="AS54" s="172">
        <f t="shared" si="3"/>
        <v>0</v>
      </c>
      <c r="AT54" s="115">
        <f t="shared" si="11"/>
        <v>0</v>
      </c>
      <c r="AU54" s="173" t="str">
        <f t="shared" si="4"/>
        <v/>
      </c>
      <c r="AV54" s="174" t="str">
        <f t="shared" si="5"/>
        <v/>
      </c>
      <c r="AW54" s="119"/>
      <c r="AX54" s="141">
        <f>IF(
  OR(
    IFERROR(VLOOKUP(F54,'Rating Factors'!$A:$B,2,FALSE)="Decline",FALSE),
    IFERROR(VLOOKUP(G54,'Rating Factors'!$C:$D,2,FALSE)="Decline",FALSE),
    IFERROR(VLOOKUP(J54,'Rating Factors'!$F:$G,2,FALSE)="Decline",FALSE),
    IFERROR(VLOOKUP(K54,'Rating Factors'!$H:$I,2,FALSE)="Decline",FALSE),
    IFERROR(VLOOKUP(L54,'Rating Factors'!$J:$K,2,FALSE)="Decline",FALSE),
    IFERROR(VLOOKUP(M54,'Rating Factors'!$L:$M,2,FALSE)="Decline",FALSE),
    IFERROR(VLOOKUP(N54,'Rating Factors'!$N:$O,2,FALSE)="Decline",FALSE),
    IFERROR(VLOOKUP(O54,'Rating Factors'!$P:$Q,2,FALSE)="Decline",FALSE),
    IFERROR(VLOOKUP(P54,'Rating Factors'!$BO:$BP,2,FALSE)="Decline",FALSE),
    IFERROR(VLOOKUP(Q54,'Rating Factors'!$BQ:$BR,2,FALSE)="Decline",FALSE),
    IFERROR(VLOOKUP(R54,'Rating Factors'!$R:$S,2,FALSE)="Decline",FALSE),
    IFERROR(VLOOKUP(S54,'Rating Factors'!$T:$U,2,FALSE)="Decline",FALSE),
    IFERROR(VLOOKUP(T54,'Rating Factors'!$V:$W,2,FALSE)="Decline",FALSE),
    IFERROR(VLOOKUP(U54,'Rating Factors'!$X:$Y,2,FALSE)="Decline",FALSE),
    IFERROR(VLOOKUP(AI54,'Rating Factors'!$AB:$AC,2,FALSE)="Decline",FALSE),
    IFERROR(VLOOKUP(AK54,'Rating Factors'!$AK:$AL,2,FALSE)="Decline",FALSE),
    IFERROR(VLOOKUP(AL54,'Rating Factors'!$AP:$AQ,2,FALSE)="Decline",FALSE)
  ),
  "Declined",
  SUM(
    W54,
    X54,
    Y54*
      IFERROR(VLOOKUP(AD54,'Rating Factors'!$BS:$BT,2,FALSE),1),
    Z54*
      IFERROR(VLOOKUP(AD54,'Rating Factors'!$BS:$BT,2,FALSE),1)*
      IFERROR(VLOOKUP(AC54,'Rating Factors'!$BV:$BW,2,FALSE),1),
  )
  * IFERROR(VLOOKUP(F54,'Rating Factors'!$A:$B,2,FALSE),1)
  * IFERROR(VLOOKUP(G54,'Rating Factors'!$C:$D,2,FALSE),1)
  * IFERROR(VLOOKUP(J54,'Rating Factors'!$F:$G,2,FALSE),1)
  * IFERROR(VLOOKUP(K54,'Rating Factors'!$H:$I,2,FALSE),1)
  * IFERROR(VLOOKUP(L54,'Rating Factors'!$J:$K,2,FALSE),1)
  * IFERROR(VLOOKUP(M54,'Rating Factors'!$L:$M,2,FALSE),1)
  * IFERROR(VLOOKUP(N54,'Rating Factors'!$N:$O,2,FALSE),1)
  * IFERROR(VLOOKUP(O54,'Rating Factors'!$P:$Q,2,FALSE),1)
  * IFERROR(VLOOKUP(P54,'Rating Factors'!$BO:$BP,2,FALSE),1)
  * IFERROR(VLOOKUP(Q54,'Rating Factors'!$BQ:$BR,2,FALSE),1)
  * IFERROR(VLOOKUP(R54,'Rating Factors'!$R:$S,2,FALSE),1)
  * IFERROR(VLOOKUP(S54,'Rating Factors'!$T:$U,2,FALSE),1)
  * IFERROR(VLOOKUP(T54,'Rating Factors'!$V:$W,2,FALSE),1)
  * IFERROR(VLOOKUP(U54,'Rating Factors'!$X:$Y,2,FALSE),1)
  * IFERROR(VLOOKUP(AI54,'Rating Factors'!$AB:$AC,2,FALSE),1)
  * IFERROR(VLOOKUP(AK54,'Rating Factors'!$AK:$AL,2,FALSE),1)
  * IFERROR(VLOOKUP(AL54,'Rating Factors'!$AP:$AQ,2,FALSE),1)
  * IFERROR(LOOKUP(SUM($W$8:$Z$127),'Rating Factors'!$BD:$BD,'Rating Factors'!$BE:$BE),1))</f>
        <v>0</v>
      </c>
      <c r="AY54" s="158">
        <f>IF(OR(AQ54="Declined", AN54&lt;&gt;"Y"),
   0,
   N(AT54)*N('Rating Factors'!$AG$2)/100
)</f>
        <v>0</v>
      </c>
      <c r="AZ54" s="158">
        <f t="shared" si="14"/>
        <v>0</v>
      </c>
      <c r="BA54" s="142">
        <f>_xlfn.LET(
  _xlpm.base_ok, AND(AQ54&lt;&gt;"Declined", N(AQ54)&gt;0),
  _xlpm.is_full, EXACT(AG54, "Full Limit"),
  _xlpm.total_tiv, SUM($AT$8:$AT$127),
  _xlpm.loc_tiv, N(BE54),
  _xlpm.full_rate, N('Rating Factors'!$AO$10),
  _xlpm.min_per_loc, N('Rating Factors'!$AN$10),
  _xlpm.n_locs, N(E51),
  _xlpm.sched_prem, MAX(_xlpm.total_tiv*_xlpm.full_rate, _xlpm.min_per_loc*_xlpm.n_locs),
  _xlpm.alloc_prem, IF(_xlpm.total_tiv=0, 0, _xlpm.sched_prem * _xlpm.loc_tiv / _xlpm.total_tiv),
  _xlpm.cap_prem, IFERROR(VLOOKUP(AG54, 'Rating Factors'!$AM:$AN, 2, FALSE), 0),
  IF(_xlpm.base_ok,
     IF(_xlpm.is_full, _xlpm.alloc_prem, _xlpm.cap_prem),
     0
  )
)</f>
        <v>0</v>
      </c>
      <c r="BB54" s="143">
        <f t="shared" si="12"/>
        <v>0</v>
      </c>
      <c r="BC54" s="144">
        <f t="shared" si="7"/>
        <v>0</v>
      </c>
      <c r="BD54" s="145">
        <f t="shared" si="8"/>
        <v>0</v>
      </c>
      <c r="BE54" s="115">
        <f t="shared" si="13"/>
        <v>0</v>
      </c>
      <c r="BF54" s="106" t="str">
        <f t="shared" si="9"/>
        <v/>
      </c>
      <c r="BG54"/>
      <c r="BI54" s="67" t="str" cm="1">
        <f t="array" ref="BI54">IF(E54="","",LEFT(_xlfn.REGEXEXTRACT(UPPER(E54),"[A-Z][0-9][A-Z][ -]?[0-9][A-Z][0-9]"),3))</f>
        <v/>
      </c>
      <c r="BJ54" s="66" t="str">
        <f>IF(E54="","",_xlfn.XLOOKUP(BI54, CrestaP!B:B, CrestaP!D:D, ""))</f>
        <v/>
      </c>
      <c r="BK54" s="66" t="str">
        <f>IFERROR(
  INDEX(
    CrestaP!H4:M9,
    MATCH(J54, {"Frame","Brick Veneer","Joisted Masonry","Non-Combustible","Masonry Non-Combustible","Fire resistive"}, 0),
    MATCH(TEXT(BJ54,"@"), {"16","E5","E4","E3","E2","E1"}, 0)
  ),
  ""
)</f>
        <v/>
      </c>
    </row>
    <row r="55" spans="2:63" hidden="1" x14ac:dyDescent="0.25">
      <c r="B55"/>
      <c r="C55" s="24">
        <f t="shared" si="10"/>
        <v>48</v>
      </c>
      <c r="D55" s="25" t="s">
        <v>30</v>
      </c>
      <c r="E55" s="175"/>
      <c r="F55" s="89"/>
      <c r="G55" s="89"/>
      <c r="H55" s="104"/>
      <c r="I55" s="104"/>
      <c r="J55" s="89"/>
      <c r="K55" s="89"/>
      <c r="L55" s="89"/>
      <c r="M55" s="89"/>
      <c r="N55" s="89"/>
      <c r="O55" s="89"/>
      <c r="P55" s="104"/>
      <c r="Q55" s="104"/>
      <c r="R55" s="89"/>
      <c r="S55" s="89"/>
      <c r="T55" s="89"/>
      <c r="U55" s="25"/>
      <c r="V55" s="119"/>
      <c r="W55" s="19"/>
      <c r="X55" s="104"/>
      <c r="Y55" s="104"/>
      <c r="Z55" s="104"/>
      <c r="AA55" s="19"/>
      <c r="AB55" s="160" t="str">
        <f>IF(OR(AA55="",G55=""),"",VLOOKUP(G55,'Rating Factors'!$C:$E,3,FALSE)*AA55)</f>
        <v/>
      </c>
      <c r="AC55" s="20"/>
      <c r="AD55" s="20"/>
      <c r="AE55" s="104"/>
      <c r="AF55" s="96"/>
      <c r="AG55" s="20"/>
      <c r="AH55" s="119"/>
      <c r="AI55" s="19"/>
      <c r="AJ55" s="19"/>
      <c r="AK55" s="19"/>
      <c r="AL55" s="96"/>
      <c r="AM55" s="119"/>
      <c r="AN55" s="19"/>
      <c r="AO55" s="20"/>
      <c r="AP55" s="119"/>
      <c r="AQ55" s="115">
        <f t="shared" si="2"/>
        <v>0</v>
      </c>
      <c r="AR55" s="171">
        <f>IF(OR(Z55="",N(Z55)=0),
IF(
N(H55)+N(I55)=0,
0,
MAX(
IFERROR(VLOOKUP(AE55,'Rating Factors'!$BJ:$BK,2,FALSE),0),
((N(H55)*'Rating Factors'!$BF$2)+(N(I55)*'Rating Factors'!$BG$2))
*IFERROR(VLOOKUP(AE55,'Rating Factors'!$Z:$AA,2,FALSE),1)
*IFERROR(VLOOKUP(AJ55,'Rating Factors'!$AD:$AE,2,FALSE),1)
*IFERROR(VLOOKUP(SUM($H$8:$H$127),'Rating Factors'!$BM:$BN,2),1)
*IFERROR(VLOOKUP(SUM($I$8:$I$127),'Rating Factors'!$BH:$BI,2),1)
)
),
MAX(IFERROR(VLOOKUP(AE55,'Rating Factors'!$BJ:$BL,3,FALSE),0),
((N(I55)*'Rating Factors'!$BG$2))
*IFERROR(VLOOKUP(AE55,'Rating Factors'!$Z:$AA,2,FALSE),1)
*IFERROR(VLOOKUP(AJ55,'Rating Factors'!$AD:$AE,2,FALSE),1)
*N(AA55)* IFERROR(VLOOKUP(G55,'Rating Factors'!$C:$D,2,FALSE),1)*0.0045
))</f>
        <v>0</v>
      </c>
      <c r="AS55" s="172">
        <f t="shared" si="3"/>
        <v>0</v>
      </c>
      <c r="AT55" s="115">
        <f t="shared" si="11"/>
        <v>0</v>
      </c>
      <c r="AU55" s="173" t="str">
        <f t="shared" si="4"/>
        <v/>
      </c>
      <c r="AV55" s="174" t="str">
        <f t="shared" si="5"/>
        <v/>
      </c>
      <c r="AW55" s="119"/>
      <c r="AX55" s="141">
        <f>IF(
  OR(
    IFERROR(VLOOKUP(F55,'Rating Factors'!$A:$B,2,FALSE)="Decline",FALSE),
    IFERROR(VLOOKUP(G55,'Rating Factors'!$C:$D,2,FALSE)="Decline",FALSE),
    IFERROR(VLOOKUP(J55,'Rating Factors'!$F:$G,2,FALSE)="Decline",FALSE),
    IFERROR(VLOOKUP(K55,'Rating Factors'!$H:$I,2,FALSE)="Decline",FALSE),
    IFERROR(VLOOKUP(L55,'Rating Factors'!$J:$K,2,FALSE)="Decline",FALSE),
    IFERROR(VLOOKUP(M55,'Rating Factors'!$L:$M,2,FALSE)="Decline",FALSE),
    IFERROR(VLOOKUP(N55,'Rating Factors'!$N:$O,2,FALSE)="Decline",FALSE),
    IFERROR(VLOOKUP(O55,'Rating Factors'!$P:$Q,2,FALSE)="Decline",FALSE),
    IFERROR(VLOOKUP(P55,'Rating Factors'!$BO:$BP,2,FALSE)="Decline",FALSE),
    IFERROR(VLOOKUP(Q55,'Rating Factors'!$BQ:$BR,2,FALSE)="Decline",FALSE),
    IFERROR(VLOOKUP(R55,'Rating Factors'!$R:$S,2,FALSE)="Decline",FALSE),
    IFERROR(VLOOKUP(S55,'Rating Factors'!$T:$U,2,FALSE)="Decline",FALSE),
    IFERROR(VLOOKUP(T55,'Rating Factors'!$V:$W,2,FALSE)="Decline",FALSE),
    IFERROR(VLOOKUP(U55,'Rating Factors'!$X:$Y,2,FALSE)="Decline",FALSE),
    IFERROR(VLOOKUP(AI55,'Rating Factors'!$AB:$AC,2,FALSE)="Decline",FALSE),
    IFERROR(VLOOKUP(AK55,'Rating Factors'!$AK:$AL,2,FALSE)="Decline",FALSE),
    IFERROR(VLOOKUP(AL55,'Rating Factors'!$AP:$AQ,2,FALSE)="Decline",FALSE)
  ),
  "Declined",
  SUM(
    W55,
    X55,
    Y55*
      IFERROR(VLOOKUP(AD55,'Rating Factors'!$BS:$BT,2,FALSE),1),
    Z55*
      IFERROR(VLOOKUP(AD55,'Rating Factors'!$BS:$BT,2,FALSE),1)*
      IFERROR(VLOOKUP(AC55,'Rating Factors'!$BV:$BW,2,FALSE),1),
  )
  * IFERROR(VLOOKUP(F55,'Rating Factors'!$A:$B,2,FALSE),1)
  * IFERROR(VLOOKUP(G55,'Rating Factors'!$C:$D,2,FALSE),1)
  * IFERROR(VLOOKUP(J55,'Rating Factors'!$F:$G,2,FALSE),1)
  * IFERROR(VLOOKUP(K55,'Rating Factors'!$H:$I,2,FALSE),1)
  * IFERROR(VLOOKUP(L55,'Rating Factors'!$J:$K,2,FALSE),1)
  * IFERROR(VLOOKUP(M55,'Rating Factors'!$L:$M,2,FALSE),1)
  * IFERROR(VLOOKUP(N55,'Rating Factors'!$N:$O,2,FALSE),1)
  * IFERROR(VLOOKUP(O55,'Rating Factors'!$P:$Q,2,FALSE),1)
  * IFERROR(VLOOKUP(P55,'Rating Factors'!$BO:$BP,2,FALSE),1)
  * IFERROR(VLOOKUP(Q55,'Rating Factors'!$BQ:$BR,2,FALSE),1)
  * IFERROR(VLOOKUP(R55,'Rating Factors'!$R:$S,2,FALSE),1)
  * IFERROR(VLOOKUP(S55,'Rating Factors'!$T:$U,2,FALSE),1)
  * IFERROR(VLOOKUP(T55,'Rating Factors'!$V:$W,2,FALSE),1)
  * IFERROR(VLOOKUP(U55,'Rating Factors'!$X:$Y,2,FALSE),1)
  * IFERROR(VLOOKUP(AI55,'Rating Factors'!$AB:$AC,2,FALSE),1)
  * IFERROR(VLOOKUP(AK55,'Rating Factors'!$AK:$AL,2,FALSE),1)
  * IFERROR(VLOOKUP(AL55,'Rating Factors'!$AP:$AQ,2,FALSE),1)
  * IFERROR(LOOKUP(SUM($W$8:$Z$127),'Rating Factors'!$BD:$BD,'Rating Factors'!$BE:$BE),1))</f>
        <v>0</v>
      </c>
      <c r="AY55" s="158">
        <f>IF(OR(AQ55="Declined", AN55&lt;&gt;"Y"),
   0,
   N(AT55)*N('Rating Factors'!$AG$2)/100
)</f>
        <v>0</v>
      </c>
      <c r="AZ55" s="158">
        <f t="shared" si="14"/>
        <v>0</v>
      </c>
      <c r="BA55" s="142">
        <f>_xlfn.LET(
  _xlpm.base_ok, AND(AQ55&lt;&gt;"Declined", N(AQ55)&gt;0),
  _xlpm.is_full, EXACT(AG55, "Full Limit"),
  _xlpm.total_tiv, SUM($AT$8:$AT$127),
  _xlpm.loc_tiv, N(BE55),
  _xlpm.full_rate, N('Rating Factors'!$AO$10),
  _xlpm.min_per_loc, N('Rating Factors'!$AN$10),
  _xlpm.n_locs, N(E52),
  _xlpm.sched_prem, MAX(_xlpm.total_tiv*_xlpm.full_rate, _xlpm.min_per_loc*_xlpm.n_locs),
  _xlpm.alloc_prem, IF(_xlpm.total_tiv=0, 0, _xlpm.sched_prem * _xlpm.loc_tiv / _xlpm.total_tiv),
  _xlpm.cap_prem, IFERROR(VLOOKUP(AG55, 'Rating Factors'!$AM:$AN, 2, FALSE), 0),
  IF(_xlpm.base_ok,
     IF(_xlpm.is_full, _xlpm.alloc_prem, _xlpm.cap_prem),
     0
  )
)</f>
        <v>0</v>
      </c>
      <c r="BB55" s="143">
        <f t="shared" si="12"/>
        <v>0</v>
      </c>
      <c r="BC55" s="144">
        <f t="shared" si="7"/>
        <v>0</v>
      </c>
      <c r="BD55" s="145">
        <f t="shared" si="8"/>
        <v>0</v>
      </c>
      <c r="BE55" s="115">
        <f t="shared" si="13"/>
        <v>0</v>
      </c>
      <c r="BF55" s="106" t="str">
        <f t="shared" si="9"/>
        <v/>
      </c>
      <c r="BG55"/>
      <c r="BI55" s="67" t="str" cm="1">
        <f t="array" ref="BI55">IF(E55="","",LEFT(_xlfn.REGEXEXTRACT(UPPER(E55),"[A-Z][0-9][A-Z][ -]?[0-9][A-Z][0-9]"),3))</f>
        <v/>
      </c>
      <c r="BJ55" s="66" t="str">
        <f>IF(E55="","",_xlfn.XLOOKUP(BI55, CrestaP!B:B, CrestaP!D:D, ""))</f>
        <v/>
      </c>
      <c r="BK55" s="66" t="str">
        <f>IFERROR(
  INDEX(
    CrestaP!H4:M9,
    MATCH(J55, {"Frame","Brick Veneer","Joisted Masonry","Non-Combustible","Masonry Non-Combustible","Fire resistive"}, 0),
    MATCH(TEXT(BJ55,"@"), {"16","E5","E4","E3","E2","E1"}, 0)
  ),
  ""
)</f>
        <v/>
      </c>
    </row>
    <row r="56" spans="2:63" hidden="1" x14ac:dyDescent="0.25">
      <c r="B56"/>
      <c r="C56" s="24">
        <f t="shared" si="10"/>
        <v>49</v>
      </c>
      <c r="D56" s="25" t="s">
        <v>30</v>
      </c>
      <c r="E56" s="175"/>
      <c r="F56" s="89"/>
      <c r="G56" s="89"/>
      <c r="H56" s="104"/>
      <c r="I56" s="104"/>
      <c r="J56" s="89"/>
      <c r="K56" s="89"/>
      <c r="L56" s="89"/>
      <c r="M56" s="89"/>
      <c r="N56" s="89"/>
      <c r="O56" s="89"/>
      <c r="P56" s="104"/>
      <c r="Q56" s="104"/>
      <c r="R56" s="89"/>
      <c r="S56" s="89"/>
      <c r="T56" s="89"/>
      <c r="U56" s="25"/>
      <c r="V56" s="119"/>
      <c r="W56" s="19"/>
      <c r="X56" s="104"/>
      <c r="Y56" s="104"/>
      <c r="Z56" s="104"/>
      <c r="AA56" s="19"/>
      <c r="AB56" s="160" t="str">
        <f>IF(OR(AA56="",G56=""),"",VLOOKUP(G56,'Rating Factors'!$C:$E,3,FALSE)*AA56)</f>
        <v/>
      </c>
      <c r="AC56" s="20"/>
      <c r="AD56" s="20"/>
      <c r="AE56" s="104"/>
      <c r="AF56" s="96"/>
      <c r="AG56" s="20"/>
      <c r="AH56" s="119"/>
      <c r="AI56" s="19"/>
      <c r="AJ56" s="19"/>
      <c r="AK56" s="19"/>
      <c r="AL56" s="96"/>
      <c r="AM56" s="119"/>
      <c r="AN56" s="19"/>
      <c r="AO56" s="20"/>
      <c r="AP56" s="119"/>
      <c r="AQ56" s="115">
        <f t="shared" si="2"/>
        <v>0</v>
      </c>
      <c r="AR56" s="171">
        <f>IF(OR(Z56="",N(Z56)=0),
IF(
N(H56)+N(I56)=0,
0,
MAX(
IFERROR(VLOOKUP(AE56,'Rating Factors'!$BJ:$BK,2,FALSE),0),
((N(H56)*'Rating Factors'!$BF$2)+(N(I56)*'Rating Factors'!$BG$2))
*IFERROR(VLOOKUP(AE56,'Rating Factors'!$Z:$AA,2,FALSE),1)
*IFERROR(VLOOKUP(AJ56,'Rating Factors'!$AD:$AE,2,FALSE),1)
*IFERROR(VLOOKUP(SUM($H$8:$H$127),'Rating Factors'!$BM:$BN,2),1)
*IFERROR(VLOOKUP(SUM($I$8:$I$127),'Rating Factors'!$BH:$BI,2),1)
)
),
MAX(IFERROR(VLOOKUP(AE56,'Rating Factors'!$BJ:$BL,3,FALSE),0),
((N(I56)*'Rating Factors'!$BG$2))
*IFERROR(VLOOKUP(AE56,'Rating Factors'!$Z:$AA,2,FALSE),1)
*IFERROR(VLOOKUP(AJ56,'Rating Factors'!$AD:$AE,2,FALSE),1)
*N(AA56)* IFERROR(VLOOKUP(G56,'Rating Factors'!$C:$D,2,FALSE),1)*0.0045
))</f>
        <v>0</v>
      </c>
      <c r="AS56" s="172">
        <f t="shared" si="3"/>
        <v>0</v>
      </c>
      <c r="AT56" s="115">
        <f t="shared" si="11"/>
        <v>0</v>
      </c>
      <c r="AU56" s="173" t="str">
        <f t="shared" si="4"/>
        <v/>
      </c>
      <c r="AV56" s="174" t="str">
        <f t="shared" si="5"/>
        <v/>
      </c>
      <c r="AW56" s="119"/>
      <c r="AX56" s="141">
        <f>IF(
  OR(
    IFERROR(VLOOKUP(F56,'Rating Factors'!$A:$B,2,FALSE)="Decline",FALSE),
    IFERROR(VLOOKUP(G56,'Rating Factors'!$C:$D,2,FALSE)="Decline",FALSE),
    IFERROR(VLOOKUP(J56,'Rating Factors'!$F:$G,2,FALSE)="Decline",FALSE),
    IFERROR(VLOOKUP(K56,'Rating Factors'!$H:$I,2,FALSE)="Decline",FALSE),
    IFERROR(VLOOKUP(L56,'Rating Factors'!$J:$K,2,FALSE)="Decline",FALSE),
    IFERROR(VLOOKUP(M56,'Rating Factors'!$L:$M,2,FALSE)="Decline",FALSE),
    IFERROR(VLOOKUP(N56,'Rating Factors'!$N:$O,2,FALSE)="Decline",FALSE),
    IFERROR(VLOOKUP(O56,'Rating Factors'!$P:$Q,2,FALSE)="Decline",FALSE),
    IFERROR(VLOOKUP(P56,'Rating Factors'!$BO:$BP,2,FALSE)="Decline",FALSE),
    IFERROR(VLOOKUP(Q56,'Rating Factors'!$BQ:$BR,2,FALSE)="Decline",FALSE),
    IFERROR(VLOOKUP(R56,'Rating Factors'!$R:$S,2,FALSE)="Decline",FALSE),
    IFERROR(VLOOKUP(S56,'Rating Factors'!$T:$U,2,FALSE)="Decline",FALSE),
    IFERROR(VLOOKUP(T56,'Rating Factors'!$V:$W,2,FALSE)="Decline",FALSE),
    IFERROR(VLOOKUP(U56,'Rating Factors'!$X:$Y,2,FALSE)="Decline",FALSE),
    IFERROR(VLOOKUP(AI56,'Rating Factors'!$AB:$AC,2,FALSE)="Decline",FALSE),
    IFERROR(VLOOKUP(AK56,'Rating Factors'!$AK:$AL,2,FALSE)="Decline",FALSE),
    IFERROR(VLOOKUP(AL56,'Rating Factors'!$AP:$AQ,2,FALSE)="Decline",FALSE)
  ),
  "Declined",
  SUM(
    W56,
    X56,
    Y56*
      IFERROR(VLOOKUP(AD56,'Rating Factors'!$BS:$BT,2,FALSE),1),
    Z56*
      IFERROR(VLOOKUP(AD56,'Rating Factors'!$BS:$BT,2,FALSE),1)*
      IFERROR(VLOOKUP(AC56,'Rating Factors'!$BV:$BW,2,FALSE),1),
  )
  * IFERROR(VLOOKUP(F56,'Rating Factors'!$A:$B,2,FALSE),1)
  * IFERROR(VLOOKUP(G56,'Rating Factors'!$C:$D,2,FALSE),1)
  * IFERROR(VLOOKUP(J56,'Rating Factors'!$F:$G,2,FALSE),1)
  * IFERROR(VLOOKUP(K56,'Rating Factors'!$H:$I,2,FALSE),1)
  * IFERROR(VLOOKUP(L56,'Rating Factors'!$J:$K,2,FALSE),1)
  * IFERROR(VLOOKUP(M56,'Rating Factors'!$L:$M,2,FALSE),1)
  * IFERROR(VLOOKUP(N56,'Rating Factors'!$N:$O,2,FALSE),1)
  * IFERROR(VLOOKUP(O56,'Rating Factors'!$P:$Q,2,FALSE),1)
  * IFERROR(VLOOKUP(P56,'Rating Factors'!$BO:$BP,2,FALSE),1)
  * IFERROR(VLOOKUP(Q56,'Rating Factors'!$BQ:$BR,2,FALSE),1)
  * IFERROR(VLOOKUP(R56,'Rating Factors'!$R:$S,2,FALSE),1)
  * IFERROR(VLOOKUP(S56,'Rating Factors'!$T:$U,2,FALSE),1)
  * IFERROR(VLOOKUP(T56,'Rating Factors'!$V:$W,2,FALSE),1)
  * IFERROR(VLOOKUP(U56,'Rating Factors'!$X:$Y,2,FALSE),1)
  * IFERROR(VLOOKUP(AI56,'Rating Factors'!$AB:$AC,2,FALSE),1)
  * IFERROR(VLOOKUP(AK56,'Rating Factors'!$AK:$AL,2,FALSE),1)
  * IFERROR(VLOOKUP(AL56,'Rating Factors'!$AP:$AQ,2,FALSE),1)
  * IFERROR(LOOKUP(SUM($W$8:$Z$127),'Rating Factors'!$BD:$BD,'Rating Factors'!$BE:$BE),1))</f>
        <v>0</v>
      </c>
      <c r="AY56" s="158">
        <f>IF(OR(AQ56="Declined", AN56&lt;&gt;"Y"),
   0,
   N(AT56)*N('Rating Factors'!$AG$2)/100
)</f>
        <v>0</v>
      </c>
      <c r="AZ56" s="158">
        <f t="shared" si="14"/>
        <v>0</v>
      </c>
      <c r="BA56" s="142">
        <f>_xlfn.LET(
  _xlpm.base_ok, AND(AQ56&lt;&gt;"Declined", N(AQ56)&gt;0),
  _xlpm.is_full, EXACT(AG56, "Full Limit"),
  _xlpm.total_tiv, SUM($AT$8:$AT$127),
  _xlpm.loc_tiv, N(BE56),
  _xlpm.full_rate, N('Rating Factors'!$AO$10),
  _xlpm.min_per_loc, N('Rating Factors'!$AN$10),
  _xlpm.n_locs, N(E53),
  _xlpm.sched_prem, MAX(_xlpm.total_tiv*_xlpm.full_rate, _xlpm.min_per_loc*_xlpm.n_locs),
  _xlpm.alloc_prem, IF(_xlpm.total_tiv=0, 0, _xlpm.sched_prem * _xlpm.loc_tiv / _xlpm.total_tiv),
  _xlpm.cap_prem, IFERROR(VLOOKUP(AG56, 'Rating Factors'!$AM:$AN, 2, FALSE), 0),
  IF(_xlpm.base_ok,
     IF(_xlpm.is_full, _xlpm.alloc_prem, _xlpm.cap_prem),
     0
  )
)</f>
        <v>0</v>
      </c>
      <c r="BB56" s="143">
        <f t="shared" si="12"/>
        <v>0</v>
      </c>
      <c r="BC56" s="144">
        <f t="shared" si="7"/>
        <v>0</v>
      </c>
      <c r="BD56" s="145">
        <f t="shared" si="8"/>
        <v>0</v>
      </c>
      <c r="BE56" s="115">
        <f t="shared" si="13"/>
        <v>0</v>
      </c>
      <c r="BF56" s="106" t="str">
        <f t="shared" si="9"/>
        <v/>
      </c>
      <c r="BG56"/>
      <c r="BI56" s="67" t="str" cm="1">
        <f t="array" ref="BI56">IF(E56="","",LEFT(_xlfn.REGEXEXTRACT(UPPER(E56),"[A-Z][0-9][A-Z][ -]?[0-9][A-Z][0-9]"),3))</f>
        <v/>
      </c>
      <c r="BJ56" s="66" t="str">
        <f>IF(E56="","",_xlfn.XLOOKUP(BI56, CrestaP!B:B, CrestaP!D:D, ""))</f>
        <v/>
      </c>
      <c r="BK56" s="66" t="str">
        <f>IFERROR(
  INDEX(
    CrestaP!H4:M9,
    MATCH(J56, {"Frame","Brick Veneer","Joisted Masonry","Non-Combustible","Masonry Non-Combustible","Fire resistive"}, 0),
    MATCH(TEXT(BJ56,"@"), {"16","E5","E4","E3","E2","E1"}, 0)
  ),
  ""
)</f>
        <v/>
      </c>
    </row>
    <row r="57" spans="2:63" hidden="1" x14ac:dyDescent="0.25">
      <c r="B57"/>
      <c r="C57" s="24">
        <f t="shared" si="10"/>
        <v>50</v>
      </c>
      <c r="D57" s="25" t="s">
        <v>30</v>
      </c>
      <c r="E57" s="175"/>
      <c r="F57" s="89"/>
      <c r="G57" s="89"/>
      <c r="H57" s="104"/>
      <c r="I57" s="104"/>
      <c r="J57" s="89"/>
      <c r="K57" s="89"/>
      <c r="L57" s="89"/>
      <c r="M57" s="89"/>
      <c r="N57" s="89"/>
      <c r="O57" s="89"/>
      <c r="P57" s="104"/>
      <c r="Q57" s="104"/>
      <c r="R57" s="89"/>
      <c r="S57" s="89"/>
      <c r="T57" s="89"/>
      <c r="U57" s="25"/>
      <c r="V57" s="119"/>
      <c r="W57" s="19"/>
      <c r="X57" s="104"/>
      <c r="Y57" s="104"/>
      <c r="Z57" s="104"/>
      <c r="AA57" s="19"/>
      <c r="AB57" s="160" t="str">
        <f>IF(OR(AA57="",G57=""),"",VLOOKUP(G57,'Rating Factors'!$C:$E,3,FALSE)*AA57)</f>
        <v/>
      </c>
      <c r="AC57" s="20"/>
      <c r="AD57" s="20"/>
      <c r="AE57" s="104"/>
      <c r="AF57" s="96"/>
      <c r="AG57" s="20"/>
      <c r="AH57" s="119"/>
      <c r="AI57" s="19"/>
      <c r="AJ57" s="19"/>
      <c r="AK57" s="19"/>
      <c r="AL57" s="96"/>
      <c r="AM57" s="119"/>
      <c r="AN57" s="19"/>
      <c r="AO57" s="20"/>
      <c r="AP57" s="119"/>
      <c r="AQ57" s="115">
        <f t="shared" si="2"/>
        <v>0</v>
      </c>
      <c r="AR57" s="171">
        <f>IF(OR(Z57="",N(Z57)=0),
IF(
N(H57)+N(I57)=0,
0,
MAX(
IFERROR(VLOOKUP(AE57,'Rating Factors'!$BJ:$BK,2,FALSE),0),
((N(H57)*'Rating Factors'!$BF$2)+(N(I57)*'Rating Factors'!$BG$2))
*IFERROR(VLOOKUP(AE57,'Rating Factors'!$Z:$AA,2,FALSE),1)
*IFERROR(VLOOKUP(AJ57,'Rating Factors'!$AD:$AE,2,FALSE),1)
*IFERROR(VLOOKUP(SUM($H$8:$H$127),'Rating Factors'!$BM:$BN,2),1)
*IFERROR(VLOOKUP(SUM($I$8:$I$127),'Rating Factors'!$BH:$BI,2),1)
)
),
MAX(IFERROR(VLOOKUP(AE57,'Rating Factors'!$BJ:$BL,3,FALSE),0),
((N(I57)*'Rating Factors'!$BG$2))
*IFERROR(VLOOKUP(AE57,'Rating Factors'!$Z:$AA,2,FALSE),1)
*IFERROR(VLOOKUP(AJ57,'Rating Factors'!$AD:$AE,2,FALSE),1)
*N(AA57)* IFERROR(VLOOKUP(G57,'Rating Factors'!$C:$D,2,FALSE),1)*0.0045
))</f>
        <v>0</v>
      </c>
      <c r="AS57" s="172">
        <f t="shared" si="3"/>
        <v>0</v>
      </c>
      <c r="AT57" s="115">
        <f t="shared" si="11"/>
        <v>0</v>
      </c>
      <c r="AU57" s="173" t="str">
        <f t="shared" si="4"/>
        <v/>
      </c>
      <c r="AV57" s="174" t="str">
        <f t="shared" si="5"/>
        <v/>
      </c>
      <c r="AW57" s="119"/>
      <c r="AX57" s="141">
        <f>IF(
  OR(
    IFERROR(VLOOKUP(F57,'Rating Factors'!$A:$B,2,FALSE)="Decline",FALSE),
    IFERROR(VLOOKUP(G57,'Rating Factors'!$C:$D,2,FALSE)="Decline",FALSE),
    IFERROR(VLOOKUP(J57,'Rating Factors'!$F:$G,2,FALSE)="Decline",FALSE),
    IFERROR(VLOOKUP(K57,'Rating Factors'!$H:$I,2,FALSE)="Decline",FALSE),
    IFERROR(VLOOKUP(L57,'Rating Factors'!$J:$K,2,FALSE)="Decline",FALSE),
    IFERROR(VLOOKUP(M57,'Rating Factors'!$L:$M,2,FALSE)="Decline",FALSE),
    IFERROR(VLOOKUP(N57,'Rating Factors'!$N:$O,2,FALSE)="Decline",FALSE),
    IFERROR(VLOOKUP(O57,'Rating Factors'!$P:$Q,2,FALSE)="Decline",FALSE),
    IFERROR(VLOOKUP(P57,'Rating Factors'!$BO:$BP,2,FALSE)="Decline",FALSE),
    IFERROR(VLOOKUP(Q57,'Rating Factors'!$BQ:$BR,2,FALSE)="Decline",FALSE),
    IFERROR(VLOOKUP(R57,'Rating Factors'!$R:$S,2,FALSE)="Decline",FALSE),
    IFERROR(VLOOKUP(S57,'Rating Factors'!$T:$U,2,FALSE)="Decline",FALSE),
    IFERROR(VLOOKUP(T57,'Rating Factors'!$V:$W,2,FALSE)="Decline",FALSE),
    IFERROR(VLOOKUP(U57,'Rating Factors'!$X:$Y,2,FALSE)="Decline",FALSE),
    IFERROR(VLOOKUP(AI57,'Rating Factors'!$AB:$AC,2,FALSE)="Decline",FALSE),
    IFERROR(VLOOKUP(AK57,'Rating Factors'!$AK:$AL,2,FALSE)="Decline",FALSE),
    IFERROR(VLOOKUP(AL57,'Rating Factors'!$AP:$AQ,2,FALSE)="Decline",FALSE)
  ),
  "Declined",
  SUM(
    W57,
    X57,
    Y57*
      IFERROR(VLOOKUP(AD57,'Rating Factors'!$BS:$BT,2,FALSE),1),
    Z57*
      IFERROR(VLOOKUP(AD57,'Rating Factors'!$BS:$BT,2,FALSE),1)*
      IFERROR(VLOOKUP(AC57,'Rating Factors'!$BV:$BW,2,FALSE),1),
  )
  * IFERROR(VLOOKUP(F57,'Rating Factors'!$A:$B,2,FALSE),1)
  * IFERROR(VLOOKUP(G57,'Rating Factors'!$C:$D,2,FALSE),1)
  * IFERROR(VLOOKUP(J57,'Rating Factors'!$F:$G,2,FALSE),1)
  * IFERROR(VLOOKUP(K57,'Rating Factors'!$H:$I,2,FALSE),1)
  * IFERROR(VLOOKUP(L57,'Rating Factors'!$J:$K,2,FALSE),1)
  * IFERROR(VLOOKUP(M57,'Rating Factors'!$L:$M,2,FALSE),1)
  * IFERROR(VLOOKUP(N57,'Rating Factors'!$N:$O,2,FALSE),1)
  * IFERROR(VLOOKUP(O57,'Rating Factors'!$P:$Q,2,FALSE),1)
  * IFERROR(VLOOKUP(P57,'Rating Factors'!$BO:$BP,2,FALSE),1)
  * IFERROR(VLOOKUP(Q57,'Rating Factors'!$BQ:$BR,2,FALSE),1)
  * IFERROR(VLOOKUP(R57,'Rating Factors'!$R:$S,2,FALSE),1)
  * IFERROR(VLOOKUP(S57,'Rating Factors'!$T:$U,2,FALSE),1)
  * IFERROR(VLOOKUP(T57,'Rating Factors'!$V:$W,2,FALSE),1)
  * IFERROR(VLOOKUP(U57,'Rating Factors'!$X:$Y,2,FALSE),1)
  * IFERROR(VLOOKUP(AI57,'Rating Factors'!$AB:$AC,2,FALSE),1)
  * IFERROR(VLOOKUP(AK57,'Rating Factors'!$AK:$AL,2,FALSE),1)
  * IFERROR(VLOOKUP(AL57,'Rating Factors'!$AP:$AQ,2,FALSE),1)
  * IFERROR(LOOKUP(SUM($W$8:$Z$127),'Rating Factors'!$BD:$BD,'Rating Factors'!$BE:$BE),1))</f>
        <v>0</v>
      </c>
      <c r="AY57" s="158">
        <f>IF(OR(AQ57="Declined", AN57&lt;&gt;"Y"),
   0,
   N(AT57)*N('Rating Factors'!$AG$2)/100
)</f>
        <v>0</v>
      </c>
      <c r="AZ57" s="158">
        <f t="shared" si="14"/>
        <v>0</v>
      </c>
      <c r="BA57" s="142">
        <f>_xlfn.LET(
  _xlpm.base_ok, AND(AQ57&lt;&gt;"Declined", N(AQ57)&gt;0),
  _xlpm.is_full, EXACT(AG57, "Full Limit"),
  _xlpm.total_tiv, SUM($AT$8:$AT$127),
  _xlpm.loc_tiv, N(BE57),
  _xlpm.full_rate, N('Rating Factors'!$AO$10),
  _xlpm.min_per_loc, N('Rating Factors'!$AN$10),
  _xlpm.n_locs, N(E54),
  _xlpm.sched_prem, MAX(_xlpm.total_tiv*_xlpm.full_rate, _xlpm.min_per_loc*_xlpm.n_locs),
  _xlpm.alloc_prem, IF(_xlpm.total_tiv=0, 0, _xlpm.sched_prem * _xlpm.loc_tiv / _xlpm.total_tiv),
  _xlpm.cap_prem, IFERROR(VLOOKUP(AG57, 'Rating Factors'!$AM:$AN, 2, FALSE), 0),
  IF(_xlpm.base_ok,
     IF(_xlpm.is_full, _xlpm.alloc_prem, _xlpm.cap_prem),
     0
  )
)</f>
        <v>0</v>
      </c>
      <c r="BB57" s="143">
        <f t="shared" si="12"/>
        <v>0</v>
      </c>
      <c r="BC57" s="144">
        <f t="shared" si="7"/>
        <v>0</v>
      </c>
      <c r="BD57" s="145">
        <f t="shared" si="8"/>
        <v>0</v>
      </c>
      <c r="BE57" s="115">
        <f t="shared" si="13"/>
        <v>0</v>
      </c>
      <c r="BF57" s="106" t="str">
        <f t="shared" si="9"/>
        <v/>
      </c>
      <c r="BG57"/>
      <c r="BI57" s="67" t="str" cm="1">
        <f t="array" ref="BI57">IF(E57="","",LEFT(_xlfn.REGEXEXTRACT(UPPER(E57),"[A-Z][0-9][A-Z][ -]?[0-9][A-Z][0-9]"),3))</f>
        <v/>
      </c>
      <c r="BJ57" s="66" t="str">
        <f>IF(E57="","",_xlfn.XLOOKUP(BI57, CrestaP!B:B, CrestaP!D:D, ""))</f>
        <v/>
      </c>
      <c r="BK57" s="66" t="str">
        <f>IFERROR(
  INDEX(
    CrestaP!H4:M9,
    MATCH(J57, {"Frame","Brick Veneer","Joisted Masonry","Non-Combustible","Masonry Non-Combustible","Fire resistive"}, 0),
    MATCH(TEXT(BJ57,"@"), {"16","E5","E4","E3","E2","E1"}, 0)
  ),
  ""
)</f>
        <v/>
      </c>
    </row>
    <row r="58" spans="2:63" hidden="1" x14ac:dyDescent="0.25">
      <c r="B58"/>
      <c r="C58" s="24">
        <f t="shared" si="10"/>
        <v>51</v>
      </c>
      <c r="D58" s="25" t="s">
        <v>30</v>
      </c>
      <c r="E58" s="175"/>
      <c r="F58" s="89"/>
      <c r="G58" s="89"/>
      <c r="H58" s="104"/>
      <c r="I58" s="104"/>
      <c r="J58" s="89"/>
      <c r="K58" s="89"/>
      <c r="L58" s="89"/>
      <c r="M58" s="89"/>
      <c r="N58" s="89"/>
      <c r="O58" s="89"/>
      <c r="P58" s="104"/>
      <c r="Q58" s="104"/>
      <c r="R58" s="89"/>
      <c r="S58" s="89"/>
      <c r="T58" s="89"/>
      <c r="U58" s="25"/>
      <c r="V58" s="119"/>
      <c r="W58" s="19"/>
      <c r="X58" s="104"/>
      <c r="Y58" s="104"/>
      <c r="Z58" s="104"/>
      <c r="AA58" s="19"/>
      <c r="AB58" s="160" t="str">
        <f>IF(OR(AA58="",G58=""),"",VLOOKUP(G58,'Rating Factors'!$C:$E,3,FALSE)*AA58)</f>
        <v/>
      </c>
      <c r="AC58" s="20"/>
      <c r="AD58" s="20"/>
      <c r="AE58" s="104"/>
      <c r="AF58" s="96"/>
      <c r="AG58" s="20"/>
      <c r="AH58" s="119"/>
      <c r="AI58" s="19"/>
      <c r="AJ58" s="19"/>
      <c r="AK58" s="19"/>
      <c r="AL58" s="96"/>
      <c r="AM58" s="119"/>
      <c r="AN58" s="19"/>
      <c r="AO58" s="20"/>
      <c r="AP58" s="119"/>
      <c r="AQ58" s="115">
        <f t="shared" si="2"/>
        <v>0</v>
      </c>
      <c r="AR58" s="171">
        <f>IF(OR(Z58="",N(Z58)=0),
IF(
N(H58)+N(I58)=0,
0,
MAX(
IFERROR(VLOOKUP(AE58,'Rating Factors'!$BJ:$BK,2,FALSE),0),
((N(H58)*'Rating Factors'!$BF$2)+(N(I58)*'Rating Factors'!$BG$2))
*IFERROR(VLOOKUP(AE58,'Rating Factors'!$Z:$AA,2,FALSE),1)
*IFERROR(VLOOKUP(AJ58,'Rating Factors'!$AD:$AE,2,FALSE),1)
*IFERROR(VLOOKUP(SUM($H$8:$H$127),'Rating Factors'!$BM:$BN,2),1)
*IFERROR(VLOOKUP(SUM($I$8:$I$127),'Rating Factors'!$BH:$BI,2),1)
)
),
MAX(IFERROR(VLOOKUP(AE58,'Rating Factors'!$BJ:$BL,3,FALSE),0),
((N(I58)*'Rating Factors'!$BG$2))
*IFERROR(VLOOKUP(AE58,'Rating Factors'!$Z:$AA,2,FALSE),1)
*IFERROR(VLOOKUP(AJ58,'Rating Factors'!$AD:$AE,2,FALSE),1)
*N(AA58)* IFERROR(VLOOKUP(G58,'Rating Factors'!$C:$D,2,FALSE),1)*0.0045
))</f>
        <v>0</v>
      </c>
      <c r="AS58" s="172">
        <f t="shared" si="3"/>
        <v>0</v>
      </c>
      <c r="AT58" s="115">
        <f t="shared" si="11"/>
        <v>0</v>
      </c>
      <c r="AU58" s="173" t="str">
        <f t="shared" si="4"/>
        <v/>
      </c>
      <c r="AV58" s="174" t="str">
        <f t="shared" si="5"/>
        <v/>
      </c>
      <c r="AW58" s="119"/>
      <c r="AX58" s="141">
        <f>IF(
  OR(
    IFERROR(VLOOKUP(F58,'Rating Factors'!$A:$B,2,FALSE)="Decline",FALSE),
    IFERROR(VLOOKUP(G58,'Rating Factors'!$C:$D,2,FALSE)="Decline",FALSE),
    IFERROR(VLOOKUP(J58,'Rating Factors'!$F:$G,2,FALSE)="Decline",FALSE),
    IFERROR(VLOOKUP(K58,'Rating Factors'!$H:$I,2,FALSE)="Decline",FALSE),
    IFERROR(VLOOKUP(L58,'Rating Factors'!$J:$K,2,FALSE)="Decline",FALSE),
    IFERROR(VLOOKUP(M58,'Rating Factors'!$L:$M,2,FALSE)="Decline",FALSE),
    IFERROR(VLOOKUP(N58,'Rating Factors'!$N:$O,2,FALSE)="Decline",FALSE),
    IFERROR(VLOOKUP(O58,'Rating Factors'!$P:$Q,2,FALSE)="Decline",FALSE),
    IFERROR(VLOOKUP(P58,'Rating Factors'!$BO:$BP,2,FALSE)="Decline",FALSE),
    IFERROR(VLOOKUP(Q58,'Rating Factors'!$BQ:$BR,2,FALSE)="Decline",FALSE),
    IFERROR(VLOOKUP(R58,'Rating Factors'!$R:$S,2,FALSE)="Decline",FALSE),
    IFERROR(VLOOKUP(S58,'Rating Factors'!$T:$U,2,FALSE)="Decline",FALSE),
    IFERROR(VLOOKUP(T58,'Rating Factors'!$V:$W,2,FALSE)="Decline",FALSE),
    IFERROR(VLOOKUP(U58,'Rating Factors'!$X:$Y,2,FALSE)="Decline",FALSE),
    IFERROR(VLOOKUP(AI58,'Rating Factors'!$AB:$AC,2,FALSE)="Decline",FALSE),
    IFERROR(VLOOKUP(AK58,'Rating Factors'!$AK:$AL,2,FALSE)="Decline",FALSE),
    IFERROR(VLOOKUP(AL58,'Rating Factors'!$AP:$AQ,2,FALSE)="Decline",FALSE)
  ),
  "Declined",
  SUM(
    W58,
    X58,
    Y58*
      IFERROR(VLOOKUP(AD58,'Rating Factors'!$BS:$BT,2,FALSE),1),
    Z58*
      IFERROR(VLOOKUP(AD58,'Rating Factors'!$BS:$BT,2,FALSE),1)*
      IFERROR(VLOOKUP(AC58,'Rating Factors'!$BV:$BW,2,FALSE),1),
  )
  * IFERROR(VLOOKUP(F58,'Rating Factors'!$A:$B,2,FALSE),1)
  * IFERROR(VLOOKUP(G58,'Rating Factors'!$C:$D,2,FALSE),1)
  * IFERROR(VLOOKUP(J58,'Rating Factors'!$F:$G,2,FALSE),1)
  * IFERROR(VLOOKUP(K58,'Rating Factors'!$H:$I,2,FALSE),1)
  * IFERROR(VLOOKUP(L58,'Rating Factors'!$J:$K,2,FALSE),1)
  * IFERROR(VLOOKUP(M58,'Rating Factors'!$L:$M,2,FALSE),1)
  * IFERROR(VLOOKUP(N58,'Rating Factors'!$N:$O,2,FALSE),1)
  * IFERROR(VLOOKUP(O58,'Rating Factors'!$P:$Q,2,FALSE),1)
  * IFERROR(VLOOKUP(P58,'Rating Factors'!$BO:$BP,2,FALSE),1)
  * IFERROR(VLOOKUP(Q58,'Rating Factors'!$BQ:$BR,2,FALSE),1)
  * IFERROR(VLOOKUP(R58,'Rating Factors'!$R:$S,2,FALSE),1)
  * IFERROR(VLOOKUP(S58,'Rating Factors'!$T:$U,2,FALSE),1)
  * IFERROR(VLOOKUP(T58,'Rating Factors'!$V:$W,2,FALSE),1)
  * IFERROR(VLOOKUP(U58,'Rating Factors'!$X:$Y,2,FALSE),1)
  * IFERROR(VLOOKUP(AI58,'Rating Factors'!$AB:$AC,2,FALSE),1)
  * IFERROR(VLOOKUP(AK58,'Rating Factors'!$AK:$AL,2,FALSE),1)
  * IFERROR(VLOOKUP(AL58,'Rating Factors'!$AP:$AQ,2,FALSE),1)
  * IFERROR(LOOKUP(SUM($W$8:$Z$127),'Rating Factors'!$BD:$BD,'Rating Factors'!$BE:$BE),1))</f>
        <v>0</v>
      </c>
      <c r="AY58" s="158">
        <f>IF(OR(AQ58="Declined", AN58&lt;&gt;"Y"),
   0,
   N(AT58)*N('Rating Factors'!$AG$2)/100
)</f>
        <v>0</v>
      </c>
      <c r="AZ58" s="158">
        <f t="shared" si="14"/>
        <v>0</v>
      </c>
      <c r="BA58" s="142">
        <f>_xlfn.LET(
  _xlpm.base_ok, AND(AQ58&lt;&gt;"Declined", N(AQ58)&gt;0),
  _xlpm.is_full, EXACT(AG58, "Full Limit"),
  _xlpm.total_tiv, SUM($AT$8:$AT$127),
  _xlpm.loc_tiv, N(BE58),
  _xlpm.full_rate, N('Rating Factors'!$AO$10),
  _xlpm.min_per_loc, N('Rating Factors'!$AN$10),
  _xlpm.n_locs, N(E55),
  _xlpm.sched_prem, MAX(_xlpm.total_tiv*_xlpm.full_rate, _xlpm.min_per_loc*_xlpm.n_locs),
  _xlpm.alloc_prem, IF(_xlpm.total_tiv=0, 0, _xlpm.sched_prem * _xlpm.loc_tiv / _xlpm.total_tiv),
  _xlpm.cap_prem, IFERROR(VLOOKUP(AG58, 'Rating Factors'!$AM:$AN, 2, FALSE), 0),
  IF(_xlpm.base_ok,
     IF(_xlpm.is_full, _xlpm.alloc_prem, _xlpm.cap_prem),
     0
  )
)</f>
        <v>0</v>
      </c>
      <c r="BB58" s="143">
        <f t="shared" si="12"/>
        <v>0</v>
      </c>
      <c r="BC58" s="144">
        <f t="shared" si="7"/>
        <v>0</v>
      </c>
      <c r="BD58" s="145">
        <f t="shared" si="8"/>
        <v>0</v>
      </c>
      <c r="BE58" s="115">
        <f t="shared" si="13"/>
        <v>0</v>
      </c>
      <c r="BF58" s="106" t="str">
        <f t="shared" si="9"/>
        <v/>
      </c>
      <c r="BG58"/>
      <c r="BI58" s="67" t="str" cm="1">
        <f t="array" ref="BI58">IF(E58="","",LEFT(_xlfn.REGEXEXTRACT(UPPER(E58),"[A-Z][0-9][A-Z][ -]?[0-9][A-Z][0-9]"),3))</f>
        <v/>
      </c>
      <c r="BJ58" s="66" t="str">
        <f>IF(E58="","",_xlfn.XLOOKUP(BI58, CrestaP!B:B, CrestaP!D:D, ""))</f>
        <v/>
      </c>
      <c r="BK58" s="66" t="str">
        <f>IFERROR(
  INDEX(
    CrestaP!H4:M9,
    MATCH(J58, {"Frame","Brick Veneer","Joisted Masonry","Non-Combustible","Masonry Non-Combustible","Fire resistive"}, 0),
    MATCH(TEXT(BJ58,"@"), {"16","E5","E4","E3","E2","E1"}, 0)
  ),
  ""
)</f>
        <v/>
      </c>
    </row>
    <row r="59" spans="2:63" hidden="1" x14ac:dyDescent="0.25">
      <c r="B59"/>
      <c r="C59" s="24">
        <f t="shared" si="10"/>
        <v>52</v>
      </c>
      <c r="D59" s="25" t="s">
        <v>30</v>
      </c>
      <c r="E59" s="175"/>
      <c r="F59" s="89"/>
      <c r="G59" s="89"/>
      <c r="H59" s="104"/>
      <c r="I59" s="104"/>
      <c r="J59" s="89"/>
      <c r="K59" s="89"/>
      <c r="L59" s="89"/>
      <c r="M59" s="89"/>
      <c r="N59" s="89"/>
      <c r="O59" s="89"/>
      <c r="P59" s="104"/>
      <c r="Q59" s="104"/>
      <c r="R59" s="89"/>
      <c r="S59" s="89"/>
      <c r="T59" s="89"/>
      <c r="U59" s="25"/>
      <c r="V59" s="119"/>
      <c r="W59" s="19"/>
      <c r="X59" s="104"/>
      <c r="Y59" s="104"/>
      <c r="Z59" s="104"/>
      <c r="AA59" s="19"/>
      <c r="AB59" s="160" t="str">
        <f>IF(OR(AA59="",G59=""),"",VLOOKUP(G59,'Rating Factors'!$C:$E,3,FALSE)*AA59)</f>
        <v/>
      </c>
      <c r="AC59" s="20"/>
      <c r="AD59" s="20"/>
      <c r="AE59" s="104"/>
      <c r="AF59" s="96"/>
      <c r="AG59" s="20"/>
      <c r="AH59" s="119"/>
      <c r="AI59" s="19"/>
      <c r="AJ59" s="19"/>
      <c r="AK59" s="19"/>
      <c r="AL59" s="96"/>
      <c r="AM59" s="119"/>
      <c r="AN59" s="19"/>
      <c r="AO59" s="20"/>
      <c r="AP59" s="119"/>
      <c r="AQ59" s="115">
        <f t="shared" si="2"/>
        <v>0</v>
      </c>
      <c r="AR59" s="171">
        <f>IF(OR(Z59="",N(Z59)=0),
IF(
N(H59)+N(I59)=0,
0,
MAX(
IFERROR(VLOOKUP(AE59,'Rating Factors'!$BJ:$BK,2,FALSE),0),
((N(H59)*'Rating Factors'!$BF$2)+(N(I59)*'Rating Factors'!$BG$2))
*IFERROR(VLOOKUP(AE59,'Rating Factors'!$Z:$AA,2,FALSE),1)
*IFERROR(VLOOKUP(AJ59,'Rating Factors'!$AD:$AE,2,FALSE),1)
*IFERROR(VLOOKUP(SUM($H$8:$H$127),'Rating Factors'!$BM:$BN,2),1)
*IFERROR(VLOOKUP(SUM($I$8:$I$127),'Rating Factors'!$BH:$BI,2),1)
)
),
MAX(IFERROR(VLOOKUP(AE59,'Rating Factors'!$BJ:$BL,3,FALSE),0),
((N(I59)*'Rating Factors'!$BG$2))
*IFERROR(VLOOKUP(AE59,'Rating Factors'!$Z:$AA,2,FALSE),1)
*IFERROR(VLOOKUP(AJ59,'Rating Factors'!$AD:$AE,2,FALSE),1)
*N(AA59)* IFERROR(VLOOKUP(G59,'Rating Factors'!$C:$D,2,FALSE),1)*0.0045
))</f>
        <v>0</v>
      </c>
      <c r="AS59" s="172">
        <f t="shared" si="3"/>
        <v>0</v>
      </c>
      <c r="AT59" s="115">
        <f t="shared" si="11"/>
        <v>0</v>
      </c>
      <c r="AU59" s="173" t="str">
        <f t="shared" si="4"/>
        <v/>
      </c>
      <c r="AV59" s="174" t="str">
        <f t="shared" si="5"/>
        <v/>
      </c>
      <c r="AW59" s="119"/>
      <c r="AX59" s="141">
        <f>IF(
  OR(
    IFERROR(VLOOKUP(F59,'Rating Factors'!$A:$B,2,FALSE)="Decline",FALSE),
    IFERROR(VLOOKUP(G59,'Rating Factors'!$C:$D,2,FALSE)="Decline",FALSE),
    IFERROR(VLOOKUP(J59,'Rating Factors'!$F:$G,2,FALSE)="Decline",FALSE),
    IFERROR(VLOOKUP(K59,'Rating Factors'!$H:$I,2,FALSE)="Decline",FALSE),
    IFERROR(VLOOKUP(L59,'Rating Factors'!$J:$K,2,FALSE)="Decline",FALSE),
    IFERROR(VLOOKUP(M59,'Rating Factors'!$L:$M,2,FALSE)="Decline",FALSE),
    IFERROR(VLOOKUP(N59,'Rating Factors'!$N:$O,2,FALSE)="Decline",FALSE),
    IFERROR(VLOOKUP(O59,'Rating Factors'!$P:$Q,2,FALSE)="Decline",FALSE),
    IFERROR(VLOOKUP(P59,'Rating Factors'!$BO:$BP,2,FALSE)="Decline",FALSE),
    IFERROR(VLOOKUP(Q59,'Rating Factors'!$BQ:$BR,2,FALSE)="Decline",FALSE),
    IFERROR(VLOOKUP(R59,'Rating Factors'!$R:$S,2,FALSE)="Decline",FALSE),
    IFERROR(VLOOKUP(S59,'Rating Factors'!$T:$U,2,FALSE)="Decline",FALSE),
    IFERROR(VLOOKUP(T59,'Rating Factors'!$V:$W,2,FALSE)="Decline",FALSE),
    IFERROR(VLOOKUP(U59,'Rating Factors'!$X:$Y,2,FALSE)="Decline",FALSE),
    IFERROR(VLOOKUP(AI59,'Rating Factors'!$AB:$AC,2,FALSE)="Decline",FALSE),
    IFERROR(VLOOKUP(AK59,'Rating Factors'!$AK:$AL,2,FALSE)="Decline",FALSE),
    IFERROR(VLOOKUP(AL59,'Rating Factors'!$AP:$AQ,2,FALSE)="Decline",FALSE)
  ),
  "Declined",
  SUM(
    W59,
    X59,
    Y59*
      IFERROR(VLOOKUP(AD59,'Rating Factors'!$BS:$BT,2,FALSE),1),
    Z59*
      IFERROR(VLOOKUP(AD59,'Rating Factors'!$BS:$BT,2,FALSE),1)*
      IFERROR(VLOOKUP(AC59,'Rating Factors'!$BV:$BW,2,FALSE),1),
  )
  * IFERROR(VLOOKUP(F59,'Rating Factors'!$A:$B,2,FALSE),1)
  * IFERROR(VLOOKUP(G59,'Rating Factors'!$C:$D,2,FALSE),1)
  * IFERROR(VLOOKUP(J59,'Rating Factors'!$F:$G,2,FALSE),1)
  * IFERROR(VLOOKUP(K59,'Rating Factors'!$H:$I,2,FALSE),1)
  * IFERROR(VLOOKUP(L59,'Rating Factors'!$J:$K,2,FALSE),1)
  * IFERROR(VLOOKUP(M59,'Rating Factors'!$L:$M,2,FALSE),1)
  * IFERROR(VLOOKUP(N59,'Rating Factors'!$N:$O,2,FALSE),1)
  * IFERROR(VLOOKUP(O59,'Rating Factors'!$P:$Q,2,FALSE),1)
  * IFERROR(VLOOKUP(P59,'Rating Factors'!$BO:$BP,2,FALSE),1)
  * IFERROR(VLOOKUP(Q59,'Rating Factors'!$BQ:$BR,2,FALSE),1)
  * IFERROR(VLOOKUP(R59,'Rating Factors'!$R:$S,2,FALSE),1)
  * IFERROR(VLOOKUP(S59,'Rating Factors'!$T:$U,2,FALSE),1)
  * IFERROR(VLOOKUP(T59,'Rating Factors'!$V:$W,2,FALSE),1)
  * IFERROR(VLOOKUP(U59,'Rating Factors'!$X:$Y,2,FALSE),1)
  * IFERROR(VLOOKUP(AI59,'Rating Factors'!$AB:$AC,2,FALSE),1)
  * IFERROR(VLOOKUP(AK59,'Rating Factors'!$AK:$AL,2,FALSE),1)
  * IFERROR(VLOOKUP(AL59,'Rating Factors'!$AP:$AQ,2,FALSE),1)
  * IFERROR(LOOKUP(SUM($W$8:$Z$127),'Rating Factors'!$BD:$BD,'Rating Factors'!$BE:$BE),1))</f>
        <v>0</v>
      </c>
      <c r="AY59" s="158">
        <f>IF(OR(AQ59="Declined", AN59&lt;&gt;"Y"),
   0,
   N(AT59)*N('Rating Factors'!$AG$2)/100
)</f>
        <v>0</v>
      </c>
      <c r="AZ59" s="158">
        <f t="shared" si="14"/>
        <v>0</v>
      </c>
      <c r="BA59" s="142">
        <f>_xlfn.LET(
  _xlpm.base_ok, AND(AQ59&lt;&gt;"Declined", N(AQ59)&gt;0),
  _xlpm.is_full, EXACT(AG59, "Full Limit"),
  _xlpm.total_tiv, SUM($AT$8:$AT$127),
  _xlpm.loc_tiv, N(BE59),
  _xlpm.full_rate, N('Rating Factors'!$AO$10),
  _xlpm.min_per_loc, N('Rating Factors'!$AN$10),
  _xlpm.n_locs, N(E56),
  _xlpm.sched_prem, MAX(_xlpm.total_tiv*_xlpm.full_rate, _xlpm.min_per_loc*_xlpm.n_locs),
  _xlpm.alloc_prem, IF(_xlpm.total_tiv=0, 0, _xlpm.sched_prem * _xlpm.loc_tiv / _xlpm.total_tiv),
  _xlpm.cap_prem, IFERROR(VLOOKUP(AG59, 'Rating Factors'!$AM:$AN, 2, FALSE), 0),
  IF(_xlpm.base_ok,
     IF(_xlpm.is_full, _xlpm.alloc_prem, _xlpm.cap_prem),
     0
  )
)</f>
        <v>0</v>
      </c>
      <c r="BB59" s="143">
        <f t="shared" si="12"/>
        <v>0</v>
      </c>
      <c r="BC59" s="144">
        <f t="shared" si="7"/>
        <v>0</v>
      </c>
      <c r="BD59" s="145">
        <f t="shared" si="8"/>
        <v>0</v>
      </c>
      <c r="BE59" s="115">
        <f t="shared" si="13"/>
        <v>0</v>
      </c>
      <c r="BF59" s="106" t="str">
        <f t="shared" si="9"/>
        <v/>
      </c>
      <c r="BG59"/>
      <c r="BI59" s="67" t="str" cm="1">
        <f t="array" ref="BI59">IF(E59="","",LEFT(_xlfn.REGEXEXTRACT(UPPER(E59),"[A-Z][0-9][A-Z][ -]?[0-9][A-Z][0-9]"),3))</f>
        <v/>
      </c>
      <c r="BJ59" s="66" t="str">
        <f>IF(E59="","",_xlfn.XLOOKUP(BI59, CrestaP!B:B, CrestaP!D:D, ""))</f>
        <v/>
      </c>
      <c r="BK59" s="66" t="str">
        <f>IFERROR(
  INDEX(
    CrestaP!H4:M9,
    MATCH(J59, {"Frame","Brick Veneer","Joisted Masonry","Non-Combustible","Masonry Non-Combustible","Fire resistive"}, 0),
    MATCH(TEXT(BJ59,"@"), {"16","E5","E4","E3","E2","E1"}, 0)
  ),
  ""
)</f>
        <v/>
      </c>
    </row>
    <row r="60" spans="2:63" ht="13.5" hidden="1" customHeight="1" x14ac:dyDescent="0.25">
      <c r="B60"/>
      <c r="C60" s="24">
        <f t="shared" si="10"/>
        <v>53</v>
      </c>
      <c r="D60" s="25" t="s">
        <v>30</v>
      </c>
      <c r="E60" s="175"/>
      <c r="F60" s="89"/>
      <c r="G60" s="89"/>
      <c r="H60" s="104"/>
      <c r="I60" s="104"/>
      <c r="J60" s="89"/>
      <c r="K60" s="89"/>
      <c r="L60" s="89"/>
      <c r="M60" s="89"/>
      <c r="N60" s="89"/>
      <c r="O60" s="89"/>
      <c r="P60" s="104"/>
      <c r="Q60" s="104"/>
      <c r="R60" s="89"/>
      <c r="S60" s="89"/>
      <c r="T60" s="89"/>
      <c r="U60" s="25"/>
      <c r="V60" s="119"/>
      <c r="W60" s="19"/>
      <c r="X60" s="104"/>
      <c r="Y60" s="104"/>
      <c r="Z60" s="104"/>
      <c r="AA60" s="19"/>
      <c r="AB60" s="160" t="str">
        <f>IF(OR(AA60="",G60=""),"",VLOOKUP(G60,'Rating Factors'!$C:$E,3,FALSE)*AA60)</f>
        <v/>
      </c>
      <c r="AC60" s="20"/>
      <c r="AD60" s="20"/>
      <c r="AE60" s="104"/>
      <c r="AF60" s="96"/>
      <c r="AG60" s="20"/>
      <c r="AH60" s="119"/>
      <c r="AI60" s="19"/>
      <c r="AJ60" s="19"/>
      <c r="AK60" s="19"/>
      <c r="AL60" s="96"/>
      <c r="AM60" s="119"/>
      <c r="AN60" s="19"/>
      <c r="AO60" s="20"/>
      <c r="AP60" s="119"/>
      <c r="AQ60" s="115">
        <f t="shared" si="2"/>
        <v>0</v>
      </c>
      <c r="AR60" s="171">
        <f>IF(OR(Z60="",N(Z60)=0),
IF(
N(H60)+N(I60)=0,
0,
MAX(
IFERROR(VLOOKUP(AE60,'Rating Factors'!$BJ:$BK,2,FALSE),0),
((N(H60)*'Rating Factors'!$BF$2)+(N(I60)*'Rating Factors'!$BG$2))
*IFERROR(VLOOKUP(AE60,'Rating Factors'!$Z:$AA,2,FALSE),1)
*IFERROR(VLOOKUP(AJ60,'Rating Factors'!$AD:$AE,2,FALSE),1)
*IFERROR(VLOOKUP(SUM($H$8:$H$127),'Rating Factors'!$BM:$BN,2),1)
*IFERROR(VLOOKUP(SUM($I$8:$I$127),'Rating Factors'!$BH:$BI,2),1)
)
),
MAX(IFERROR(VLOOKUP(AE60,'Rating Factors'!$BJ:$BL,3,FALSE),0),
((N(I60)*'Rating Factors'!$BG$2))
*IFERROR(VLOOKUP(AE60,'Rating Factors'!$Z:$AA,2,FALSE),1)
*IFERROR(VLOOKUP(AJ60,'Rating Factors'!$AD:$AE,2,FALSE),1)
*N(AA60)* IFERROR(VLOOKUP(G60,'Rating Factors'!$C:$D,2,FALSE),1)*0.0045
))</f>
        <v>0</v>
      </c>
      <c r="AS60" s="172">
        <f t="shared" si="3"/>
        <v>0</v>
      </c>
      <c r="AT60" s="115">
        <f t="shared" si="11"/>
        <v>0</v>
      </c>
      <c r="AU60" s="173" t="str">
        <f t="shared" si="4"/>
        <v/>
      </c>
      <c r="AV60" s="174" t="str">
        <f t="shared" si="5"/>
        <v/>
      </c>
      <c r="AW60" s="119"/>
      <c r="AX60" s="141">
        <f>IF(
  OR(
    IFERROR(VLOOKUP(F60,'Rating Factors'!$A:$B,2,FALSE)="Decline",FALSE),
    IFERROR(VLOOKUP(G60,'Rating Factors'!$C:$D,2,FALSE)="Decline",FALSE),
    IFERROR(VLOOKUP(J60,'Rating Factors'!$F:$G,2,FALSE)="Decline",FALSE),
    IFERROR(VLOOKUP(K60,'Rating Factors'!$H:$I,2,FALSE)="Decline",FALSE),
    IFERROR(VLOOKUP(L60,'Rating Factors'!$J:$K,2,FALSE)="Decline",FALSE),
    IFERROR(VLOOKUP(M60,'Rating Factors'!$L:$M,2,FALSE)="Decline",FALSE),
    IFERROR(VLOOKUP(N60,'Rating Factors'!$N:$O,2,FALSE)="Decline",FALSE),
    IFERROR(VLOOKUP(O60,'Rating Factors'!$P:$Q,2,FALSE)="Decline",FALSE),
    IFERROR(VLOOKUP(P60,'Rating Factors'!$BO:$BP,2,FALSE)="Decline",FALSE),
    IFERROR(VLOOKUP(Q60,'Rating Factors'!$BQ:$BR,2,FALSE)="Decline",FALSE),
    IFERROR(VLOOKUP(R60,'Rating Factors'!$R:$S,2,FALSE)="Decline",FALSE),
    IFERROR(VLOOKUP(S60,'Rating Factors'!$T:$U,2,FALSE)="Decline",FALSE),
    IFERROR(VLOOKUP(T60,'Rating Factors'!$V:$W,2,FALSE)="Decline",FALSE),
    IFERROR(VLOOKUP(U60,'Rating Factors'!$X:$Y,2,FALSE)="Decline",FALSE),
    IFERROR(VLOOKUP(AI60,'Rating Factors'!$AB:$AC,2,FALSE)="Decline",FALSE),
    IFERROR(VLOOKUP(AK60,'Rating Factors'!$AK:$AL,2,FALSE)="Decline",FALSE),
    IFERROR(VLOOKUP(AL60,'Rating Factors'!$AP:$AQ,2,FALSE)="Decline",FALSE)
  ),
  "Declined",
  SUM(
    W60,
    X60,
    Y60*
      IFERROR(VLOOKUP(AD60,'Rating Factors'!$BS:$BT,2,FALSE),1),
    Z60*
      IFERROR(VLOOKUP(AD60,'Rating Factors'!$BS:$BT,2,FALSE),1)*
      IFERROR(VLOOKUP(AC60,'Rating Factors'!$BV:$BW,2,FALSE),1),
  )
  * IFERROR(VLOOKUP(F60,'Rating Factors'!$A:$B,2,FALSE),1)
  * IFERROR(VLOOKUP(G60,'Rating Factors'!$C:$D,2,FALSE),1)
  * IFERROR(VLOOKUP(J60,'Rating Factors'!$F:$G,2,FALSE),1)
  * IFERROR(VLOOKUP(K60,'Rating Factors'!$H:$I,2,FALSE),1)
  * IFERROR(VLOOKUP(L60,'Rating Factors'!$J:$K,2,FALSE),1)
  * IFERROR(VLOOKUP(M60,'Rating Factors'!$L:$M,2,FALSE),1)
  * IFERROR(VLOOKUP(N60,'Rating Factors'!$N:$O,2,FALSE),1)
  * IFERROR(VLOOKUP(O60,'Rating Factors'!$P:$Q,2,FALSE),1)
  * IFERROR(VLOOKUP(P60,'Rating Factors'!$BO:$BP,2,FALSE),1)
  * IFERROR(VLOOKUP(Q60,'Rating Factors'!$BQ:$BR,2,FALSE),1)
  * IFERROR(VLOOKUP(R60,'Rating Factors'!$R:$S,2,FALSE),1)
  * IFERROR(VLOOKUP(S60,'Rating Factors'!$T:$U,2,FALSE),1)
  * IFERROR(VLOOKUP(T60,'Rating Factors'!$V:$W,2,FALSE),1)
  * IFERROR(VLOOKUP(U60,'Rating Factors'!$X:$Y,2,FALSE),1)
  * IFERROR(VLOOKUP(AI60,'Rating Factors'!$AB:$AC,2,FALSE),1)
  * IFERROR(VLOOKUP(AK60,'Rating Factors'!$AK:$AL,2,FALSE),1)
  * IFERROR(VLOOKUP(AL60,'Rating Factors'!$AP:$AQ,2,FALSE),1)
  * IFERROR(LOOKUP(SUM($W$8:$Z$127),'Rating Factors'!$BD:$BD,'Rating Factors'!$BE:$BE),1))</f>
        <v>0</v>
      </c>
      <c r="AY60" s="158">
        <f>IF(OR(AQ60="Declined", AN60&lt;&gt;"Y"),
   0,
   N(AT60)*N('Rating Factors'!$AG$2)/100
)</f>
        <v>0</v>
      </c>
      <c r="AZ60" s="158">
        <f t="shared" si="14"/>
        <v>0</v>
      </c>
      <c r="BA60" s="142">
        <f>_xlfn.LET(
  _xlpm.base_ok, AND(AQ60&lt;&gt;"Declined", N(AQ60)&gt;0),
  _xlpm.is_full, EXACT(AG60, "Full Limit"),
  _xlpm.total_tiv, SUM($AT$8:$AT$127),
  _xlpm.loc_tiv, N(BE60),
  _xlpm.full_rate, N('Rating Factors'!$AO$10),
  _xlpm.min_per_loc, N('Rating Factors'!$AN$10),
  _xlpm.n_locs, N(E57),
  _xlpm.sched_prem, MAX(_xlpm.total_tiv*_xlpm.full_rate, _xlpm.min_per_loc*_xlpm.n_locs),
  _xlpm.alloc_prem, IF(_xlpm.total_tiv=0, 0, _xlpm.sched_prem * _xlpm.loc_tiv / _xlpm.total_tiv),
  _xlpm.cap_prem, IFERROR(VLOOKUP(AG60, 'Rating Factors'!$AM:$AN, 2, FALSE), 0),
  IF(_xlpm.base_ok,
     IF(_xlpm.is_full, _xlpm.alloc_prem, _xlpm.cap_prem),
     0
  )
)</f>
        <v>0</v>
      </c>
      <c r="BB60" s="143">
        <f t="shared" si="12"/>
        <v>0</v>
      </c>
      <c r="BC60" s="144">
        <f t="shared" si="7"/>
        <v>0</v>
      </c>
      <c r="BD60" s="145">
        <f t="shared" si="8"/>
        <v>0</v>
      </c>
      <c r="BE60" s="115">
        <f t="shared" si="13"/>
        <v>0</v>
      </c>
      <c r="BF60" s="106" t="str">
        <f t="shared" si="9"/>
        <v/>
      </c>
      <c r="BG60"/>
      <c r="BI60" s="67" t="str" cm="1">
        <f t="array" ref="BI60">IF(E60="","",LEFT(_xlfn.REGEXEXTRACT(UPPER(E60),"[A-Z][0-9][A-Z][ -]?[0-9][A-Z][0-9]"),3))</f>
        <v/>
      </c>
      <c r="BJ60" s="66" t="str">
        <f>IF(E60="","",_xlfn.XLOOKUP(BI60, CrestaP!B:B, CrestaP!D:D, ""))</f>
        <v/>
      </c>
      <c r="BK60" s="66" t="str">
        <f>IFERROR(
  INDEX(
    CrestaP!H4:M9,
    MATCH(J60, {"Frame","Brick Veneer","Joisted Masonry","Non-Combustible","Masonry Non-Combustible","Fire resistive"}, 0),
    MATCH(TEXT(BJ60,"@"), {"16","E5","E4","E3","E2","E1"}, 0)
  ),
  ""
)</f>
        <v/>
      </c>
    </row>
    <row r="61" spans="2:63" hidden="1" x14ac:dyDescent="0.25">
      <c r="B61"/>
      <c r="C61" s="24">
        <f t="shared" si="10"/>
        <v>54</v>
      </c>
      <c r="D61" s="25" t="s">
        <v>30</v>
      </c>
      <c r="E61" s="175"/>
      <c r="F61" s="89"/>
      <c r="G61" s="89"/>
      <c r="H61" s="104"/>
      <c r="I61" s="104"/>
      <c r="J61" s="89"/>
      <c r="K61" s="89"/>
      <c r="L61" s="89"/>
      <c r="M61" s="89"/>
      <c r="N61" s="89"/>
      <c r="O61" s="89"/>
      <c r="P61" s="104"/>
      <c r="Q61" s="104"/>
      <c r="R61" s="89"/>
      <c r="S61" s="89"/>
      <c r="T61" s="89"/>
      <c r="U61" s="25"/>
      <c r="V61" s="119"/>
      <c r="W61" s="19"/>
      <c r="X61" s="104"/>
      <c r="Y61" s="104"/>
      <c r="Z61" s="104"/>
      <c r="AA61" s="19"/>
      <c r="AB61" s="160" t="str">
        <f>IF(OR(AA61="",G61=""),"",VLOOKUP(G61,'Rating Factors'!$C:$E,3,FALSE)*AA61)</f>
        <v/>
      </c>
      <c r="AC61" s="20"/>
      <c r="AD61" s="20"/>
      <c r="AE61" s="104"/>
      <c r="AF61" s="96"/>
      <c r="AG61" s="20"/>
      <c r="AH61" s="119"/>
      <c r="AI61" s="19"/>
      <c r="AJ61" s="19"/>
      <c r="AK61" s="19"/>
      <c r="AL61" s="96"/>
      <c r="AM61" s="119"/>
      <c r="AN61" s="19"/>
      <c r="AO61" s="20"/>
      <c r="AP61" s="119"/>
      <c r="AQ61" s="115">
        <f t="shared" si="2"/>
        <v>0</v>
      </c>
      <c r="AR61" s="171">
        <f>IF(OR(Z61="",N(Z61)=0),
IF(
N(H61)+N(I61)=0,
0,
MAX(
IFERROR(VLOOKUP(AE61,'Rating Factors'!$BJ:$BK,2,FALSE),0),
((N(H61)*'Rating Factors'!$BF$2)+(N(I61)*'Rating Factors'!$BG$2))
*IFERROR(VLOOKUP(AE61,'Rating Factors'!$Z:$AA,2,FALSE),1)
*IFERROR(VLOOKUP(AJ61,'Rating Factors'!$AD:$AE,2,FALSE),1)
*IFERROR(VLOOKUP(SUM($H$8:$H$127),'Rating Factors'!$BM:$BN,2),1)
*IFERROR(VLOOKUP(SUM($I$8:$I$127),'Rating Factors'!$BH:$BI,2),1)
)
),
MAX(IFERROR(VLOOKUP(AE61,'Rating Factors'!$BJ:$BL,3,FALSE),0),
((N(I61)*'Rating Factors'!$BG$2))
*IFERROR(VLOOKUP(AE61,'Rating Factors'!$Z:$AA,2,FALSE),1)
*IFERROR(VLOOKUP(AJ61,'Rating Factors'!$AD:$AE,2,FALSE),1)
*N(AA61)* IFERROR(VLOOKUP(G61,'Rating Factors'!$C:$D,2,FALSE),1)*0.0045
))</f>
        <v>0</v>
      </c>
      <c r="AS61" s="172">
        <f t="shared" si="3"/>
        <v>0</v>
      </c>
      <c r="AT61" s="115">
        <f t="shared" si="11"/>
        <v>0</v>
      </c>
      <c r="AU61" s="173" t="str">
        <f t="shared" si="4"/>
        <v/>
      </c>
      <c r="AV61" s="174" t="str">
        <f t="shared" si="5"/>
        <v/>
      </c>
      <c r="AW61" s="119"/>
      <c r="AX61" s="141">
        <f>IF(
  OR(
    IFERROR(VLOOKUP(F61,'Rating Factors'!$A:$B,2,FALSE)="Decline",FALSE),
    IFERROR(VLOOKUP(G61,'Rating Factors'!$C:$D,2,FALSE)="Decline",FALSE),
    IFERROR(VLOOKUP(J61,'Rating Factors'!$F:$G,2,FALSE)="Decline",FALSE),
    IFERROR(VLOOKUP(K61,'Rating Factors'!$H:$I,2,FALSE)="Decline",FALSE),
    IFERROR(VLOOKUP(L61,'Rating Factors'!$J:$K,2,FALSE)="Decline",FALSE),
    IFERROR(VLOOKUP(M61,'Rating Factors'!$L:$M,2,FALSE)="Decline",FALSE),
    IFERROR(VLOOKUP(N61,'Rating Factors'!$N:$O,2,FALSE)="Decline",FALSE),
    IFERROR(VLOOKUP(O61,'Rating Factors'!$P:$Q,2,FALSE)="Decline",FALSE),
    IFERROR(VLOOKUP(P61,'Rating Factors'!$BO:$BP,2,FALSE)="Decline",FALSE),
    IFERROR(VLOOKUP(Q61,'Rating Factors'!$BQ:$BR,2,FALSE)="Decline",FALSE),
    IFERROR(VLOOKUP(R61,'Rating Factors'!$R:$S,2,FALSE)="Decline",FALSE),
    IFERROR(VLOOKUP(S61,'Rating Factors'!$T:$U,2,FALSE)="Decline",FALSE),
    IFERROR(VLOOKUP(T61,'Rating Factors'!$V:$W,2,FALSE)="Decline",FALSE),
    IFERROR(VLOOKUP(U61,'Rating Factors'!$X:$Y,2,FALSE)="Decline",FALSE),
    IFERROR(VLOOKUP(AI61,'Rating Factors'!$AB:$AC,2,FALSE)="Decline",FALSE),
    IFERROR(VLOOKUP(AK61,'Rating Factors'!$AK:$AL,2,FALSE)="Decline",FALSE),
    IFERROR(VLOOKUP(AL61,'Rating Factors'!$AP:$AQ,2,FALSE)="Decline",FALSE)
  ),
  "Declined",
  SUM(
    W61,
    X61,
    Y61*
      IFERROR(VLOOKUP(AD61,'Rating Factors'!$BS:$BT,2,FALSE),1),
    Z61*
      IFERROR(VLOOKUP(AD61,'Rating Factors'!$BS:$BT,2,FALSE),1)*
      IFERROR(VLOOKUP(AC61,'Rating Factors'!$BV:$BW,2,FALSE),1),
  )
  * IFERROR(VLOOKUP(F61,'Rating Factors'!$A:$B,2,FALSE),1)
  * IFERROR(VLOOKUP(G61,'Rating Factors'!$C:$D,2,FALSE),1)
  * IFERROR(VLOOKUP(J61,'Rating Factors'!$F:$G,2,FALSE),1)
  * IFERROR(VLOOKUP(K61,'Rating Factors'!$H:$I,2,FALSE),1)
  * IFERROR(VLOOKUP(L61,'Rating Factors'!$J:$K,2,FALSE),1)
  * IFERROR(VLOOKUP(M61,'Rating Factors'!$L:$M,2,FALSE),1)
  * IFERROR(VLOOKUP(N61,'Rating Factors'!$N:$O,2,FALSE),1)
  * IFERROR(VLOOKUP(O61,'Rating Factors'!$P:$Q,2,FALSE),1)
  * IFERROR(VLOOKUP(P61,'Rating Factors'!$BO:$BP,2,FALSE),1)
  * IFERROR(VLOOKUP(Q61,'Rating Factors'!$BQ:$BR,2,FALSE),1)
  * IFERROR(VLOOKUP(R61,'Rating Factors'!$R:$S,2,FALSE),1)
  * IFERROR(VLOOKUP(S61,'Rating Factors'!$T:$U,2,FALSE),1)
  * IFERROR(VLOOKUP(T61,'Rating Factors'!$V:$W,2,FALSE),1)
  * IFERROR(VLOOKUP(U61,'Rating Factors'!$X:$Y,2,FALSE),1)
  * IFERROR(VLOOKUP(AI61,'Rating Factors'!$AB:$AC,2,FALSE),1)
  * IFERROR(VLOOKUP(AK61,'Rating Factors'!$AK:$AL,2,FALSE),1)
  * IFERROR(VLOOKUP(AL61,'Rating Factors'!$AP:$AQ,2,FALSE),1)
  * IFERROR(LOOKUP(SUM($W$8:$Z$127),'Rating Factors'!$BD:$BD,'Rating Factors'!$BE:$BE),1))</f>
        <v>0</v>
      </c>
      <c r="AY61" s="158">
        <f>IF(OR(AQ61="Declined", AN61&lt;&gt;"Y"),
   0,
   N(AT61)*N('Rating Factors'!$AG$2)/100
)</f>
        <v>0</v>
      </c>
      <c r="AZ61" s="158">
        <f t="shared" si="14"/>
        <v>0</v>
      </c>
      <c r="BA61" s="142">
        <f>_xlfn.LET(
  _xlpm.base_ok, AND(AQ61&lt;&gt;"Declined", N(AQ61)&gt;0),
  _xlpm.is_full, EXACT(AG61, "Full Limit"),
  _xlpm.total_tiv, SUM($AT$8:$AT$127),
  _xlpm.loc_tiv, N(BE61),
  _xlpm.full_rate, N('Rating Factors'!$AO$10),
  _xlpm.min_per_loc, N('Rating Factors'!$AN$10),
  _xlpm.n_locs, N(E58),
  _xlpm.sched_prem, MAX(_xlpm.total_tiv*_xlpm.full_rate, _xlpm.min_per_loc*_xlpm.n_locs),
  _xlpm.alloc_prem, IF(_xlpm.total_tiv=0, 0, _xlpm.sched_prem * _xlpm.loc_tiv / _xlpm.total_tiv),
  _xlpm.cap_prem, IFERROR(VLOOKUP(AG61, 'Rating Factors'!$AM:$AN, 2, FALSE), 0),
  IF(_xlpm.base_ok,
     IF(_xlpm.is_full, _xlpm.alloc_prem, _xlpm.cap_prem),
     0
  )
)</f>
        <v>0</v>
      </c>
      <c r="BB61" s="143">
        <f t="shared" si="12"/>
        <v>0</v>
      </c>
      <c r="BC61" s="144">
        <f t="shared" si="7"/>
        <v>0</v>
      </c>
      <c r="BD61" s="145">
        <f t="shared" si="8"/>
        <v>0</v>
      </c>
      <c r="BE61" s="115">
        <f t="shared" si="13"/>
        <v>0</v>
      </c>
      <c r="BF61" s="106" t="str">
        <f t="shared" si="9"/>
        <v/>
      </c>
      <c r="BG61"/>
      <c r="BI61" s="67" t="str" cm="1">
        <f t="array" ref="BI61">IF(E61="","",LEFT(_xlfn.REGEXEXTRACT(UPPER(E61),"[A-Z][0-9][A-Z][ -]?[0-9][A-Z][0-9]"),3))</f>
        <v/>
      </c>
      <c r="BJ61" s="66" t="str">
        <f>IF(E61="","",_xlfn.XLOOKUP(BI61, CrestaP!B:B, CrestaP!D:D, ""))</f>
        <v/>
      </c>
      <c r="BK61" s="66" t="str">
        <f>IFERROR(
  INDEX(
    CrestaP!H4:M9,
    MATCH(J61, {"Frame","Brick Veneer","Joisted Masonry","Non-Combustible","Masonry Non-Combustible","Fire resistive"}, 0),
    MATCH(TEXT(BJ61,"@"), {"16","E5","E4","E3","E2","E1"}, 0)
  ),
  ""
)</f>
        <v/>
      </c>
    </row>
    <row r="62" spans="2:63" hidden="1" x14ac:dyDescent="0.25">
      <c r="B62"/>
      <c r="C62" s="24">
        <f t="shared" si="10"/>
        <v>55</v>
      </c>
      <c r="D62" s="25" t="s">
        <v>30</v>
      </c>
      <c r="E62" s="175"/>
      <c r="F62" s="89"/>
      <c r="G62" s="89"/>
      <c r="H62" s="104"/>
      <c r="I62" s="104"/>
      <c r="J62" s="89"/>
      <c r="K62" s="89"/>
      <c r="L62" s="89"/>
      <c r="M62" s="89"/>
      <c r="N62" s="89"/>
      <c r="O62" s="89"/>
      <c r="P62" s="104"/>
      <c r="Q62" s="104"/>
      <c r="R62" s="89"/>
      <c r="S62" s="89"/>
      <c r="T62" s="89"/>
      <c r="U62" s="25"/>
      <c r="V62" s="119"/>
      <c r="W62" s="19"/>
      <c r="X62" s="104"/>
      <c r="Y62" s="104"/>
      <c r="Z62" s="104"/>
      <c r="AA62" s="19"/>
      <c r="AB62" s="160" t="str">
        <f>IF(OR(AA62="",G62=""),"",VLOOKUP(G62,'Rating Factors'!$C:$E,3,FALSE)*AA62)</f>
        <v/>
      </c>
      <c r="AC62" s="20"/>
      <c r="AD62" s="20"/>
      <c r="AE62" s="104"/>
      <c r="AF62" s="96"/>
      <c r="AG62" s="20"/>
      <c r="AH62" s="119"/>
      <c r="AI62" s="19"/>
      <c r="AJ62" s="19"/>
      <c r="AK62" s="19"/>
      <c r="AL62" s="96"/>
      <c r="AM62" s="119"/>
      <c r="AN62" s="19"/>
      <c r="AO62" s="20"/>
      <c r="AP62" s="119"/>
      <c r="AQ62" s="115">
        <f t="shared" si="2"/>
        <v>0</v>
      </c>
      <c r="AR62" s="171">
        <f>IF(OR(Z62="",N(Z62)=0),
IF(
N(H62)+N(I62)=0,
0,
MAX(
IFERROR(VLOOKUP(AE62,'Rating Factors'!$BJ:$BK,2,FALSE),0),
((N(H62)*'Rating Factors'!$BF$2)+(N(I62)*'Rating Factors'!$BG$2))
*IFERROR(VLOOKUP(AE62,'Rating Factors'!$Z:$AA,2,FALSE),1)
*IFERROR(VLOOKUP(AJ62,'Rating Factors'!$AD:$AE,2,FALSE),1)
*IFERROR(VLOOKUP(SUM($H$8:$H$127),'Rating Factors'!$BM:$BN,2),1)
*IFERROR(VLOOKUP(SUM($I$8:$I$127),'Rating Factors'!$BH:$BI,2),1)
)
),
MAX(IFERROR(VLOOKUP(AE62,'Rating Factors'!$BJ:$BL,3,FALSE),0),
((N(I62)*'Rating Factors'!$BG$2))
*IFERROR(VLOOKUP(AE62,'Rating Factors'!$Z:$AA,2,FALSE),1)
*IFERROR(VLOOKUP(AJ62,'Rating Factors'!$AD:$AE,2,FALSE),1)
*N(AA62)* IFERROR(VLOOKUP(G62,'Rating Factors'!$C:$D,2,FALSE),1)*0.0045
))</f>
        <v>0</v>
      </c>
      <c r="AS62" s="172">
        <f t="shared" si="3"/>
        <v>0</v>
      </c>
      <c r="AT62" s="115">
        <f t="shared" si="11"/>
        <v>0</v>
      </c>
      <c r="AU62" s="173" t="str">
        <f t="shared" si="4"/>
        <v/>
      </c>
      <c r="AV62" s="174" t="str">
        <f t="shared" si="5"/>
        <v/>
      </c>
      <c r="AW62" s="119"/>
      <c r="AX62" s="141">
        <f>IF(
  OR(
    IFERROR(VLOOKUP(F62,'Rating Factors'!$A:$B,2,FALSE)="Decline",FALSE),
    IFERROR(VLOOKUP(G62,'Rating Factors'!$C:$D,2,FALSE)="Decline",FALSE),
    IFERROR(VLOOKUP(J62,'Rating Factors'!$F:$G,2,FALSE)="Decline",FALSE),
    IFERROR(VLOOKUP(K62,'Rating Factors'!$H:$I,2,FALSE)="Decline",FALSE),
    IFERROR(VLOOKUP(L62,'Rating Factors'!$J:$K,2,FALSE)="Decline",FALSE),
    IFERROR(VLOOKUP(M62,'Rating Factors'!$L:$M,2,FALSE)="Decline",FALSE),
    IFERROR(VLOOKUP(N62,'Rating Factors'!$N:$O,2,FALSE)="Decline",FALSE),
    IFERROR(VLOOKUP(O62,'Rating Factors'!$P:$Q,2,FALSE)="Decline",FALSE),
    IFERROR(VLOOKUP(P62,'Rating Factors'!$BO:$BP,2,FALSE)="Decline",FALSE),
    IFERROR(VLOOKUP(Q62,'Rating Factors'!$BQ:$BR,2,FALSE)="Decline",FALSE),
    IFERROR(VLOOKUP(R62,'Rating Factors'!$R:$S,2,FALSE)="Decline",FALSE),
    IFERROR(VLOOKUP(S62,'Rating Factors'!$T:$U,2,FALSE)="Decline",FALSE),
    IFERROR(VLOOKUP(T62,'Rating Factors'!$V:$W,2,FALSE)="Decline",FALSE),
    IFERROR(VLOOKUP(U62,'Rating Factors'!$X:$Y,2,FALSE)="Decline",FALSE),
    IFERROR(VLOOKUP(AI62,'Rating Factors'!$AB:$AC,2,FALSE)="Decline",FALSE),
    IFERROR(VLOOKUP(AK62,'Rating Factors'!$AK:$AL,2,FALSE)="Decline",FALSE),
    IFERROR(VLOOKUP(AL62,'Rating Factors'!$AP:$AQ,2,FALSE)="Decline",FALSE)
  ),
  "Declined",
  SUM(
    W62,
    X62,
    Y62*
      IFERROR(VLOOKUP(AD62,'Rating Factors'!$BS:$BT,2,FALSE),1),
    Z62*
      IFERROR(VLOOKUP(AD62,'Rating Factors'!$BS:$BT,2,FALSE),1)*
      IFERROR(VLOOKUP(AC62,'Rating Factors'!$BV:$BW,2,FALSE),1),
  )
  * IFERROR(VLOOKUP(F62,'Rating Factors'!$A:$B,2,FALSE),1)
  * IFERROR(VLOOKUP(G62,'Rating Factors'!$C:$D,2,FALSE),1)
  * IFERROR(VLOOKUP(J62,'Rating Factors'!$F:$G,2,FALSE),1)
  * IFERROR(VLOOKUP(K62,'Rating Factors'!$H:$I,2,FALSE),1)
  * IFERROR(VLOOKUP(L62,'Rating Factors'!$J:$K,2,FALSE),1)
  * IFERROR(VLOOKUP(M62,'Rating Factors'!$L:$M,2,FALSE),1)
  * IFERROR(VLOOKUP(N62,'Rating Factors'!$N:$O,2,FALSE),1)
  * IFERROR(VLOOKUP(O62,'Rating Factors'!$P:$Q,2,FALSE),1)
  * IFERROR(VLOOKUP(P62,'Rating Factors'!$BO:$BP,2,FALSE),1)
  * IFERROR(VLOOKUP(Q62,'Rating Factors'!$BQ:$BR,2,FALSE),1)
  * IFERROR(VLOOKUP(R62,'Rating Factors'!$R:$S,2,FALSE),1)
  * IFERROR(VLOOKUP(S62,'Rating Factors'!$T:$U,2,FALSE),1)
  * IFERROR(VLOOKUP(T62,'Rating Factors'!$V:$W,2,FALSE),1)
  * IFERROR(VLOOKUP(U62,'Rating Factors'!$X:$Y,2,FALSE),1)
  * IFERROR(VLOOKUP(AI62,'Rating Factors'!$AB:$AC,2,FALSE),1)
  * IFERROR(VLOOKUP(AK62,'Rating Factors'!$AK:$AL,2,FALSE),1)
  * IFERROR(VLOOKUP(AL62,'Rating Factors'!$AP:$AQ,2,FALSE),1)
  * IFERROR(LOOKUP(SUM($W$8:$Z$127),'Rating Factors'!$BD:$BD,'Rating Factors'!$BE:$BE),1))</f>
        <v>0</v>
      </c>
      <c r="AY62" s="158">
        <f>IF(OR(AQ62="Declined", AN62&lt;&gt;"Y"),
   0,
   N(AT62)*N('Rating Factors'!$AG$2)/100
)</f>
        <v>0</v>
      </c>
      <c r="AZ62" s="158">
        <f t="shared" si="14"/>
        <v>0</v>
      </c>
      <c r="BA62" s="142">
        <f>_xlfn.LET(
  _xlpm.base_ok, AND(AQ62&lt;&gt;"Declined", N(AQ62)&gt;0),
  _xlpm.is_full, EXACT(AG62, "Full Limit"),
  _xlpm.total_tiv, SUM($AT$8:$AT$127),
  _xlpm.loc_tiv, N(BE62),
  _xlpm.full_rate, N('Rating Factors'!$AO$10),
  _xlpm.min_per_loc, N('Rating Factors'!$AN$10),
  _xlpm.n_locs, N(E59),
  _xlpm.sched_prem, MAX(_xlpm.total_tiv*_xlpm.full_rate, _xlpm.min_per_loc*_xlpm.n_locs),
  _xlpm.alloc_prem, IF(_xlpm.total_tiv=0, 0, _xlpm.sched_prem * _xlpm.loc_tiv / _xlpm.total_tiv),
  _xlpm.cap_prem, IFERROR(VLOOKUP(AG62, 'Rating Factors'!$AM:$AN, 2, FALSE), 0),
  IF(_xlpm.base_ok,
     IF(_xlpm.is_full, _xlpm.alloc_prem, _xlpm.cap_prem),
     0
  )
)</f>
        <v>0</v>
      </c>
      <c r="BB62" s="143">
        <f t="shared" si="12"/>
        <v>0</v>
      </c>
      <c r="BC62" s="144">
        <f t="shared" si="7"/>
        <v>0</v>
      </c>
      <c r="BD62" s="145">
        <f t="shared" si="8"/>
        <v>0</v>
      </c>
      <c r="BE62" s="115">
        <f t="shared" si="13"/>
        <v>0</v>
      </c>
      <c r="BF62" s="106" t="str">
        <f t="shared" si="9"/>
        <v/>
      </c>
      <c r="BG62"/>
      <c r="BI62" s="67" t="str" cm="1">
        <f t="array" ref="BI62">IF(E62="","",LEFT(_xlfn.REGEXEXTRACT(UPPER(E62),"[A-Z][0-9][A-Z][ -]?[0-9][A-Z][0-9]"),3))</f>
        <v/>
      </c>
      <c r="BJ62" s="66" t="str">
        <f>IF(E62="","",_xlfn.XLOOKUP(BI62, CrestaP!B:B, CrestaP!D:D, ""))</f>
        <v/>
      </c>
      <c r="BK62" s="66" t="str">
        <f>IFERROR(
  INDEX(
    CrestaP!H4:M9,
    MATCH(J62, {"Frame","Brick Veneer","Joisted Masonry","Non-Combustible","Masonry Non-Combustible","Fire resistive"}, 0),
    MATCH(TEXT(BJ62,"@"), {"16","E5","E4","E3","E2","E1"}, 0)
  ),
  ""
)</f>
        <v/>
      </c>
    </row>
    <row r="63" spans="2:63" hidden="1" x14ac:dyDescent="0.25">
      <c r="B63"/>
      <c r="C63" s="24">
        <f t="shared" si="10"/>
        <v>56</v>
      </c>
      <c r="D63" s="25" t="s">
        <v>30</v>
      </c>
      <c r="E63" s="175"/>
      <c r="F63" s="89"/>
      <c r="G63" s="89"/>
      <c r="H63" s="104"/>
      <c r="I63" s="104"/>
      <c r="J63" s="89"/>
      <c r="K63" s="89"/>
      <c r="L63" s="89"/>
      <c r="M63" s="89"/>
      <c r="N63" s="89"/>
      <c r="O63" s="89"/>
      <c r="P63" s="104"/>
      <c r="Q63" s="104"/>
      <c r="R63" s="89"/>
      <c r="S63" s="89"/>
      <c r="T63" s="89"/>
      <c r="U63" s="25"/>
      <c r="V63" s="119"/>
      <c r="W63" s="19"/>
      <c r="X63" s="104"/>
      <c r="Y63" s="104"/>
      <c r="Z63" s="104"/>
      <c r="AA63" s="19"/>
      <c r="AB63" s="160" t="str">
        <f>IF(OR(AA63="",G63=""),"",VLOOKUP(G63,'Rating Factors'!$C:$E,3,FALSE)*AA63)</f>
        <v/>
      </c>
      <c r="AC63" s="20"/>
      <c r="AD63" s="20"/>
      <c r="AE63" s="104"/>
      <c r="AF63" s="96"/>
      <c r="AG63" s="20"/>
      <c r="AH63" s="119"/>
      <c r="AI63" s="19"/>
      <c r="AJ63" s="19"/>
      <c r="AK63" s="19"/>
      <c r="AL63" s="96"/>
      <c r="AM63" s="119"/>
      <c r="AN63" s="19"/>
      <c r="AO63" s="20"/>
      <c r="AP63" s="119"/>
      <c r="AQ63" s="115">
        <f t="shared" si="2"/>
        <v>0</v>
      </c>
      <c r="AR63" s="171">
        <f>IF(OR(Z63="",N(Z63)=0),
IF(
N(H63)+N(I63)=0,
0,
MAX(
IFERROR(VLOOKUP(AE63,'Rating Factors'!$BJ:$BK,2,FALSE),0),
((N(H63)*'Rating Factors'!$BF$2)+(N(I63)*'Rating Factors'!$BG$2))
*IFERROR(VLOOKUP(AE63,'Rating Factors'!$Z:$AA,2,FALSE),1)
*IFERROR(VLOOKUP(AJ63,'Rating Factors'!$AD:$AE,2,FALSE),1)
*IFERROR(VLOOKUP(SUM($H$8:$H$127),'Rating Factors'!$BM:$BN,2),1)
*IFERROR(VLOOKUP(SUM($I$8:$I$127),'Rating Factors'!$BH:$BI,2),1)
)
),
MAX(IFERROR(VLOOKUP(AE63,'Rating Factors'!$BJ:$BL,3,FALSE),0),
((N(I63)*'Rating Factors'!$BG$2))
*IFERROR(VLOOKUP(AE63,'Rating Factors'!$Z:$AA,2,FALSE),1)
*IFERROR(VLOOKUP(AJ63,'Rating Factors'!$AD:$AE,2,FALSE),1)
*N(AA63)* IFERROR(VLOOKUP(G63,'Rating Factors'!$C:$D,2,FALSE),1)*0.0045
))</f>
        <v>0</v>
      </c>
      <c r="AS63" s="172">
        <f t="shared" si="3"/>
        <v>0</v>
      </c>
      <c r="AT63" s="115">
        <f t="shared" si="11"/>
        <v>0</v>
      </c>
      <c r="AU63" s="173" t="str">
        <f t="shared" si="4"/>
        <v/>
      </c>
      <c r="AV63" s="174" t="str">
        <f t="shared" si="5"/>
        <v/>
      </c>
      <c r="AW63" s="119"/>
      <c r="AX63" s="141">
        <f>IF(
  OR(
    IFERROR(VLOOKUP(F63,'Rating Factors'!$A:$B,2,FALSE)="Decline",FALSE),
    IFERROR(VLOOKUP(G63,'Rating Factors'!$C:$D,2,FALSE)="Decline",FALSE),
    IFERROR(VLOOKUP(J63,'Rating Factors'!$F:$G,2,FALSE)="Decline",FALSE),
    IFERROR(VLOOKUP(K63,'Rating Factors'!$H:$I,2,FALSE)="Decline",FALSE),
    IFERROR(VLOOKUP(L63,'Rating Factors'!$J:$K,2,FALSE)="Decline",FALSE),
    IFERROR(VLOOKUP(M63,'Rating Factors'!$L:$M,2,FALSE)="Decline",FALSE),
    IFERROR(VLOOKUP(N63,'Rating Factors'!$N:$O,2,FALSE)="Decline",FALSE),
    IFERROR(VLOOKUP(O63,'Rating Factors'!$P:$Q,2,FALSE)="Decline",FALSE),
    IFERROR(VLOOKUP(P63,'Rating Factors'!$BO:$BP,2,FALSE)="Decline",FALSE),
    IFERROR(VLOOKUP(Q63,'Rating Factors'!$BQ:$BR,2,FALSE)="Decline",FALSE),
    IFERROR(VLOOKUP(R63,'Rating Factors'!$R:$S,2,FALSE)="Decline",FALSE),
    IFERROR(VLOOKUP(S63,'Rating Factors'!$T:$U,2,FALSE)="Decline",FALSE),
    IFERROR(VLOOKUP(T63,'Rating Factors'!$V:$W,2,FALSE)="Decline",FALSE),
    IFERROR(VLOOKUP(U63,'Rating Factors'!$X:$Y,2,FALSE)="Decline",FALSE),
    IFERROR(VLOOKUP(AI63,'Rating Factors'!$AB:$AC,2,FALSE)="Decline",FALSE),
    IFERROR(VLOOKUP(AK63,'Rating Factors'!$AK:$AL,2,FALSE)="Decline",FALSE),
    IFERROR(VLOOKUP(AL63,'Rating Factors'!$AP:$AQ,2,FALSE)="Decline",FALSE)
  ),
  "Declined",
  SUM(
    W63,
    X63,
    Y63*
      IFERROR(VLOOKUP(AD63,'Rating Factors'!$BS:$BT,2,FALSE),1),
    Z63*
      IFERROR(VLOOKUP(AD63,'Rating Factors'!$BS:$BT,2,FALSE),1)*
      IFERROR(VLOOKUP(AC63,'Rating Factors'!$BV:$BW,2,FALSE),1),
  )
  * IFERROR(VLOOKUP(F63,'Rating Factors'!$A:$B,2,FALSE),1)
  * IFERROR(VLOOKUP(G63,'Rating Factors'!$C:$D,2,FALSE),1)
  * IFERROR(VLOOKUP(J63,'Rating Factors'!$F:$G,2,FALSE),1)
  * IFERROR(VLOOKUP(K63,'Rating Factors'!$H:$I,2,FALSE),1)
  * IFERROR(VLOOKUP(L63,'Rating Factors'!$J:$K,2,FALSE),1)
  * IFERROR(VLOOKUP(M63,'Rating Factors'!$L:$M,2,FALSE),1)
  * IFERROR(VLOOKUP(N63,'Rating Factors'!$N:$O,2,FALSE),1)
  * IFERROR(VLOOKUP(O63,'Rating Factors'!$P:$Q,2,FALSE),1)
  * IFERROR(VLOOKUP(P63,'Rating Factors'!$BO:$BP,2,FALSE),1)
  * IFERROR(VLOOKUP(Q63,'Rating Factors'!$BQ:$BR,2,FALSE),1)
  * IFERROR(VLOOKUP(R63,'Rating Factors'!$R:$S,2,FALSE),1)
  * IFERROR(VLOOKUP(S63,'Rating Factors'!$T:$U,2,FALSE),1)
  * IFERROR(VLOOKUP(T63,'Rating Factors'!$V:$W,2,FALSE),1)
  * IFERROR(VLOOKUP(U63,'Rating Factors'!$X:$Y,2,FALSE),1)
  * IFERROR(VLOOKUP(AI63,'Rating Factors'!$AB:$AC,2,FALSE),1)
  * IFERROR(VLOOKUP(AK63,'Rating Factors'!$AK:$AL,2,FALSE),1)
  * IFERROR(VLOOKUP(AL63,'Rating Factors'!$AP:$AQ,2,FALSE),1)
  * IFERROR(LOOKUP(SUM($W$8:$Z$127),'Rating Factors'!$BD:$BD,'Rating Factors'!$BE:$BE),1))</f>
        <v>0</v>
      </c>
      <c r="AY63" s="158">
        <f>IF(OR(AQ63="Declined", AN63&lt;&gt;"Y"),
   0,
   N(AT63)*N('Rating Factors'!$AG$2)/100
)</f>
        <v>0</v>
      </c>
      <c r="AZ63" s="158">
        <f t="shared" si="14"/>
        <v>0</v>
      </c>
      <c r="BA63" s="142">
        <f>_xlfn.LET(
  _xlpm.base_ok, AND(AQ63&lt;&gt;"Declined", N(AQ63)&gt;0),
  _xlpm.is_full, EXACT(AG63, "Full Limit"),
  _xlpm.total_tiv, SUM($AT$8:$AT$127),
  _xlpm.loc_tiv, N(BE63),
  _xlpm.full_rate, N('Rating Factors'!$AO$10),
  _xlpm.min_per_loc, N('Rating Factors'!$AN$10),
  _xlpm.n_locs, N(E60),
  _xlpm.sched_prem, MAX(_xlpm.total_tiv*_xlpm.full_rate, _xlpm.min_per_loc*_xlpm.n_locs),
  _xlpm.alloc_prem, IF(_xlpm.total_tiv=0, 0, _xlpm.sched_prem * _xlpm.loc_tiv / _xlpm.total_tiv),
  _xlpm.cap_prem, IFERROR(VLOOKUP(AG63, 'Rating Factors'!$AM:$AN, 2, FALSE), 0),
  IF(_xlpm.base_ok,
     IF(_xlpm.is_full, _xlpm.alloc_prem, _xlpm.cap_prem),
     0
  )
)</f>
        <v>0</v>
      </c>
      <c r="BB63" s="143">
        <f t="shared" si="12"/>
        <v>0</v>
      </c>
      <c r="BC63" s="144">
        <f t="shared" si="7"/>
        <v>0</v>
      </c>
      <c r="BD63" s="145">
        <f t="shared" si="8"/>
        <v>0</v>
      </c>
      <c r="BE63" s="115">
        <f t="shared" si="13"/>
        <v>0</v>
      </c>
      <c r="BF63" s="106" t="str">
        <f t="shared" si="9"/>
        <v/>
      </c>
      <c r="BG63"/>
      <c r="BI63" s="67" t="str" cm="1">
        <f t="array" ref="BI63">IF(E63="","",LEFT(_xlfn.REGEXEXTRACT(UPPER(E63),"[A-Z][0-9][A-Z][ -]?[0-9][A-Z][0-9]"),3))</f>
        <v/>
      </c>
      <c r="BJ63" s="66" t="str">
        <f>IF(E63="","",_xlfn.XLOOKUP(BI63, CrestaP!B:B, CrestaP!D:D, ""))</f>
        <v/>
      </c>
      <c r="BK63" s="66" t="str">
        <f>IFERROR(
  INDEX(
    CrestaP!H4:M9,
    MATCH(J63, {"Frame","Brick Veneer","Joisted Masonry","Non-Combustible","Masonry Non-Combustible","Fire resistive"}, 0),
    MATCH(TEXT(BJ63,"@"), {"16","E5","E4","E3","E2","E1"}, 0)
  ),
  ""
)</f>
        <v/>
      </c>
    </row>
    <row r="64" spans="2:63" hidden="1" x14ac:dyDescent="0.25">
      <c r="B64"/>
      <c r="C64" s="24">
        <f t="shared" si="10"/>
        <v>57</v>
      </c>
      <c r="D64" s="25" t="s">
        <v>30</v>
      </c>
      <c r="E64" s="175"/>
      <c r="F64" s="89"/>
      <c r="G64" s="89"/>
      <c r="H64" s="104"/>
      <c r="I64" s="104"/>
      <c r="J64" s="89"/>
      <c r="K64" s="89"/>
      <c r="L64" s="89"/>
      <c r="M64" s="89"/>
      <c r="N64" s="89"/>
      <c r="O64" s="89"/>
      <c r="P64" s="104"/>
      <c r="Q64" s="104"/>
      <c r="R64" s="89"/>
      <c r="S64" s="89"/>
      <c r="T64" s="89"/>
      <c r="U64" s="25"/>
      <c r="V64" s="119"/>
      <c r="W64" s="19"/>
      <c r="X64" s="104"/>
      <c r="Y64" s="104"/>
      <c r="Z64" s="104"/>
      <c r="AA64" s="19"/>
      <c r="AB64" s="160" t="str">
        <f>IF(OR(AA64="",G64=""),"",VLOOKUP(G64,'Rating Factors'!$C:$E,3,FALSE)*AA64)</f>
        <v/>
      </c>
      <c r="AC64" s="20"/>
      <c r="AD64" s="20"/>
      <c r="AE64" s="104"/>
      <c r="AF64" s="96"/>
      <c r="AG64" s="20"/>
      <c r="AH64" s="119"/>
      <c r="AI64" s="19"/>
      <c r="AJ64" s="19"/>
      <c r="AK64" s="19"/>
      <c r="AL64" s="96"/>
      <c r="AM64" s="119"/>
      <c r="AN64" s="19"/>
      <c r="AO64" s="20"/>
      <c r="AP64" s="119"/>
      <c r="AQ64" s="115">
        <f t="shared" si="2"/>
        <v>0</v>
      </c>
      <c r="AR64" s="171">
        <f>IF(OR(Z64="",N(Z64)=0),
IF(
N(H64)+N(I64)=0,
0,
MAX(
IFERROR(VLOOKUP(AE64,'Rating Factors'!$BJ:$BK,2,FALSE),0),
((N(H64)*'Rating Factors'!$BF$2)+(N(I64)*'Rating Factors'!$BG$2))
*IFERROR(VLOOKUP(AE64,'Rating Factors'!$Z:$AA,2,FALSE),1)
*IFERROR(VLOOKUP(AJ64,'Rating Factors'!$AD:$AE,2,FALSE),1)
*IFERROR(VLOOKUP(SUM($H$8:$H$127),'Rating Factors'!$BM:$BN,2),1)
*IFERROR(VLOOKUP(SUM($I$8:$I$127),'Rating Factors'!$BH:$BI,2),1)
)
),
MAX(IFERROR(VLOOKUP(AE64,'Rating Factors'!$BJ:$BL,3,FALSE),0),
((N(I64)*'Rating Factors'!$BG$2))
*IFERROR(VLOOKUP(AE64,'Rating Factors'!$Z:$AA,2,FALSE),1)
*IFERROR(VLOOKUP(AJ64,'Rating Factors'!$AD:$AE,2,FALSE),1)
*N(AA64)* IFERROR(VLOOKUP(G64,'Rating Factors'!$C:$D,2,FALSE),1)*0.0045
))</f>
        <v>0</v>
      </c>
      <c r="AS64" s="172">
        <f t="shared" si="3"/>
        <v>0</v>
      </c>
      <c r="AT64" s="115">
        <f t="shared" si="11"/>
        <v>0</v>
      </c>
      <c r="AU64" s="173" t="str">
        <f t="shared" si="4"/>
        <v/>
      </c>
      <c r="AV64" s="174" t="str">
        <f t="shared" si="5"/>
        <v/>
      </c>
      <c r="AW64" s="119"/>
      <c r="AX64" s="141">
        <f>IF(
  OR(
    IFERROR(VLOOKUP(F64,'Rating Factors'!$A:$B,2,FALSE)="Decline",FALSE),
    IFERROR(VLOOKUP(G64,'Rating Factors'!$C:$D,2,FALSE)="Decline",FALSE),
    IFERROR(VLOOKUP(J64,'Rating Factors'!$F:$G,2,FALSE)="Decline",FALSE),
    IFERROR(VLOOKUP(K64,'Rating Factors'!$H:$I,2,FALSE)="Decline",FALSE),
    IFERROR(VLOOKUP(L64,'Rating Factors'!$J:$K,2,FALSE)="Decline",FALSE),
    IFERROR(VLOOKUP(M64,'Rating Factors'!$L:$M,2,FALSE)="Decline",FALSE),
    IFERROR(VLOOKUP(N64,'Rating Factors'!$N:$O,2,FALSE)="Decline",FALSE),
    IFERROR(VLOOKUP(O64,'Rating Factors'!$P:$Q,2,FALSE)="Decline",FALSE),
    IFERROR(VLOOKUP(P64,'Rating Factors'!$BO:$BP,2,FALSE)="Decline",FALSE),
    IFERROR(VLOOKUP(Q64,'Rating Factors'!$BQ:$BR,2,FALSE)="Decline",FALSE),
    IFERROR(VLOOKUP(R64,'Rating Factors'!$R:$S,2,FALSE)="Decline",FALSE),
    IFERROR(VLOOKUP(S64,'Rating Factors'!$T:$U,2,FALSE)="Decline",FALSE),
    IFERROR(VLOOKUP(T64,'Rating Factors'!$V:$W,2,FALSE)="Decline",FALSE),
    IFERROR(VLOOKUP(U64,'Rating Factors'!$X:$Y,2,FALSE)="Decline",FALSE),
    IFERROR(VLOOKUP(AI64,'Rating Factors'!$AB:$AC,2,FALSE)="Decline",FALSE),
    IFERROR(VLOOKUP(AK64,'Rating Factors'!$AK:$AL,2,FALSE)="Decline",FALSE),
    IFERROR(VLOOKUP(AL64,'Rating Factors'!$AP:$AQ,2,FALSE)="Decline",FALSE)
  ),
  "Declined",
  SUM(
    W64,
    X64,
    Y64*
      IFERROR(VLOOKUP(AD64,'Rating Factors'!$BS:$BT,2,FALSE),1),
    Z64*
      IFERROR(VLOOKUP(AD64,'Rating Factors'!$BS:$BT,2,FALSE),1)*
      IFERROR(VLOOKUP(AC64,'Rating Factors'!$BV:$BW,2,FALSE),1),
  )
  * IFERROR(VLOOKUP(F64,'Rating Factors'!$A:$B,2,FALSE),1)
  * IFERROR(VLOOKUP(G64,'Rating Factors'!$C:$D,2,FALSE),1)
  * IFERROR(VLOOKUP(J64,'Rating Factors'!$F:$G,2,FALSE),1)
  * IFERROR(VLOOKUP(K64,'Rating Factors'!$H:$I,2,FALSE),1)
  * IFERROR(VLOOKUP(L64,'Rating Factors'!$J:$K,2,FALSE),1)
  * IFERROR(VLOOKUP(M64,'Rating Factors'!$L:$M,2,FALSE),1)
  * IFERROR(VLOOKUP(N64,'Rating Factors'!$N:$O,2,FALSE),1)
  * IFERROR(VLOOKUP(O64,'Rating Factors'!$P:$Q,2,FALSE),1)
  * IFERROR(VLOOKUP(P64,'Rating Factors'!$BO:$BP,2,FALSE),1)
  * IFERROR(VLOOKUP(Q64,'Rating Factors'!$BQ:$BR,2,FALSE),1)
  * IFERROR(VLOOKUP(R64,'Rating Factors'!$R:$S,2,FALSE),1)
  * IFERROR(VLOOKUP(S64,'Rating Factors'!$T:$U,2,FALSE),1)
  * IFERROR(VLOOKUP(T64,'Rating Factors'!$V:$W,2,FALSE),1)
  * IFERROR(VLOOKUP(U64,'Rating Factors'!$X:$Y,2,FALSE),1)
  * IFERROR(VLOOKUP(AI64,'Rating Factors'!$AB:$AC,2,FALSE),1)
  * IFERROR(VLOOKUP(AK64,'Rating Factors'!$AK:$AL,2,FALSE),1)
  * IFERROR(VLOOKUP(AL64,'Rating Factors'!$AP:$AQ,2,FALSE),1)
  * IFERROR(LOOKUP(SUM($W$8:$Z$127),'Rating Factors'!$BD:$BD,'Rating Factors'!$BE:$BE),1))</f>
        <v>0</v>
      </c>
      <c r="AY64" s="158">
        <f>IF(OR(AQ64="Declined", AN64&lt;&gt;"Y"),
   0,
   N(AT64)*N('Rating Factors'!$AG$2)/100
)</f>
        <v>0</v>
      </c>
      <c r="AZ64" s="158">
        <f t="shared" si="14"/>
        <v>0</v>
      </c>
      <c r="BA64" s="142">
        <f>_xlfn.LET(
  _xlpm.base_ok, AND(AQ64&lt;&gt;"Declined", N(AQ64)&gt;0),
  _xlpm.is_full, EXACT(AG64, "Full Limit"),
  _xlpm.total_tiv, SUM($AT$8:$AT$127),
  _xlpm.loc_tiv, N(BE64),
  _xlpm.full_rate, N('Rating Factors'!$AO$10),
  _xlpm.min_per_loc, N('Rating Factors'!$AN$10),
  _xlpm.n_locs, N(E61),
  _xlpm.sched_prem, MAX(_xlpm.total_tiv*_xlpm.full_rate, _xlpm.min_per_loc*_xlpm.n_locs),
  _xlpm.alloc_prem, IF(_xlpm.total_tiv=0, 0, _xlpm.sched_prem * _xlpm.loc_tiv / _xlpm.total_tiv),
  _xlpm.cap_prem, IFERROR(VLOOKUP(AG64, 'Rating Factors'!$AM:$AN, 2, FALSE), 0),
  IF(_xlpm.base_ok,
     IF(_xlpm.is_full, _xlpm.alloc_prem, _xlpm.cap_prem),
     0
  )
)</f>
        <v>0</v>
      </c>
      <c r="BB64" s="143">
        <f t="shared" si="12"/>
        <v>0</v>
      </c>
      <c r="BC64" s="144">
        <f t="shared" si="7"/>
        <v>0</v>
      </c>
      <c r="BD64" s="145">
        <f t="shared" si="8"/>
        <v>0</v>
      </c>
      <c r="BE64" s="115">
        <f t="shared" si="13"/>
        <v>0</v>
      </c>
      <c r="BF64" s="106" t="str">
        <f t="shared" si="9"/>
        <v/>
      </c>
      <c r="BG64"/>
      <c r="BI64" s="67" t="str" cm="1">
        <f t="array" ref="BI64">IF(E64="","",LEFT(_xlfn.REGEXEXTRACT(UPPER(E64),"[A-Z][0-9][A-Z][ -]?[0-9][A-Z][0-9]"),3))</f>
        <v/>
      </c>
      <c r="BJ64" s="66" t="str">
        <f>IF(E64="","",_xlfn.XLOOKUP(BI64, CrestaP!B:B, CrestaP!D:D, ""))</f>
        <v/>
      </c>
      <c r="BK64" s="66" t="str">
        <f>IFERROR(
  INDEX(
    CrestaP!H4:M9,
    MATCH(J64, {"Frame","Brick Veneer","Joisted Masonry","Non-Combustible","Masonry Non-Combustible","Fire resistive"}, 0),
    MATCH(TEXT(BJ64,"@"), {"16","E5","E4","E3","E2","E1"}, 0)
  ),
  ""
)</f>
        <v/>
      </c>
    </row>
    <row r="65" spans="2:63" hidden="1" x14ac:dyDescent="0.25">
      <c r="B65"/>
      <c r="C65" s="24">
        <f t="shared" si="10"/>
        <v>58</v>
      </c>
      <c r="D65" s="25" t="s">
        <v>30</v>
      </c>
      <c r="E65" s="175"/>
      <c r="F65" s="89"/>
      <c r="G65" s="89"/>
      <c r="H65" s="104"/>
      <c r="I65" s="104"/>
      <c r="J65" s="89"/>
      <c r="K65" s="89"/>
      <c r="L65" s="89"/>
      <c r="M65" s="89"/>
      <c r="N65" s="89"/>
      <c r="O65" s="89"/>
      <c r="P65" s="104"/>
      <c r="Q65" s="104"/>
      <c r="R65" s="89"/>
      <c r="S65" s="89"/>
      <c r="T65" s="89"/>
      <c r="U65" s="25"/>
      <c r="V65" s="119"/>
      <c r="W65" s="19"/>
      <c r="X65" s="104"/>
      <c r="Y65" s="104"/>
      <c r="Z65" s="104"/>
      <c r="AA65" s="19"/>
      <c r="AB65" s="160" t="str">
        <f>IF(OR(AA65="",G65=""),"",VLOOKUP(G65,'Rating Factors'!$C:$E,3,FALSE)*AA65)</f>
        <v/>
      </c>
      <c r="AC65" s="20"/>
      <c r="AD65" s="20"/>
      <c r="AE65" s="104"/>
      <c r="AF65" s="96"/>
      <c r="AG65" s="20"/>
      <c r="AH65" s="119"/>
      <c r="AI65" s="19"/>
      <c r="AJ65" s="19"/>
      <c r="AK65" s="19"/>
      <c r="AL65" s="96"/>
      <c r="AM65" s="119"/>
      <c r="AN65" s="19"/>
      <c r="AO65" s="20"/>
      <c r="AP65" s="119"/>
      <c r="AQ65" s="115">
        <f t="shared" si="2"/>
        <v>0</v>
      </c>
      <c r="AR65" s="171">
        <f>IF(OR(Z65="",N(Z65)=0),
IF(
N(H65)+N(I65)=0,
0,
MAX(
IFERROR(VLOOKUP(AE65,'Rating Factors'!$BJ:$BK,2,FALSE),0),
((N(H65)*'Rating Factors'!$BF$2)+(N(I65)*'Rating Factors'!$BG$2))
*IFERROR(VLOOKUP(AE65,'Rating Factors'!$Z:$AA,2,FALSE),1)
*IFERROR(VLOOKUP(AJ65,'Rating Factors'!$AD:$AE,2,FALSE),1)
*IFERROR(VLOOKUP(SUM($H$8:$H$127),'Rating Factors'!$BM:$BN,2),1)
*IFERROR(VLOOKUP(SUM($I$8:$I$127),'Rating Factors'!$BH:$BI,2),1)
)
),
MAX(IFERROR(VLOOKUP(AE65,'Rating Factors'!$BJ:$BL,3,FALSE),0),
((N(I65)*'Rating Factors'!$BG$2))
*IFERROR(VLOOKUP(AE65,'Rating Factors'!$Z:$AA,2,FALSE),1)
*IFERROR(VLOOKUP(AJ65,'Rating Factors'!$AD:$AE,2,FALSE),1)
*N(AA65)* IFERROR(VLOOKUP(G65,'Rating Factors'!$C:$D,2,FALSE),1)*0.0045
))</f>
        <v>0</v>
      </c>
      <c r="AS65" s="172">
        <f t="shared" si="3"/>
        <v>0</v>
      </c>
      <c r="AT65" s="115">
        <f t="shared" si="11"/>
        <v>0</v>
      </c>
      <c r="AU65" s="173" t="str">
        <f t="shared" si="4"/>
        <v/>
      </c>
      <c r="AV65" s="174" t="str">
        <f t="shared" si="5"/>
        <v/>
      </c>
      <c r="AW65" s="119"/>
      <c r="AX65" s="141">
        <f>IF(
  OR(
    IFERROR(VLOOKUP(F65,'Rating Factors'!$A:$B,2,FALSE)="Decline",FALSE),
    IFERROR(VLOOKUP(G65,'Rating Factors'!$C:$D,2,FALSE)="Decline",FALSE),
    IFERROR(VLOOKUP(J65,'Rating Factors'!$F:$G,2,FALSE)="Decline",FALSE),
    IFERROR(VLOOKUP(K65,'Rating Factors'!$H:$I,2,FALSE)="Decline",FALSE),
    IFERROR(VLOOKUP(L65,'Rating Factors'!$J:$K,2,FALSE)="Decline",FALSE),
    IFERROR(VLOOKUP(M65,'Rating Factors'!$L:$M,2,FALSE)="Decline",FALSE),
    IFERROR(VLOOKUP(N65,'Rating Factors'!$N:$O,2,FALSE)="Decline",FALSE),
    IFERROR(VLOOKUP(O65,'Rating Factors'!$P:$Q,2,FALSE)="Decline",FALSE),
    IFERROR(VLOOKUP(P65,'Rating Factors'!$BO:$BP,2,FALSE)="Decline",FALSE),
    IFERROR(VLOOKUP(Q65,'Rating Factors'!$BQ:$BR,2,FALSE)="Decline",FALSE),
    IFERROR(VLOOKUP(R65,'Rating Factors'!$R:$S,2,FALSE)="Decline",FALSE),
    IFERROR(VLOOKUP(S65,'Rating Factors'!$T:$U,2,FALSE)="Decline",FALSE),
    IFERROR(VLOOKUP(T65,'Rating Factors'!$V:$W,2,FALSE)="Decline",FALSE),
    IFERROR(VLOOKUP(U65,'Rating Factors'!$X:$Y,2,FALSE)="Decline",FALSE),
    IFERROR(VLOOKUP(AI65,'Rating Factors'!$AB:$AC,2,FALSE)="Decline",FALSE),
    IFERROR(VLOOKUP(AK65,'Rating Factors'!$AK:$AL,2,FALSE)="Decline",FALSE),
    IFERROR(VLOOKUP(AL65,'Rating Factors'!$AP:$AQ,2,FALSE)="Decline",FALSE)
  ),
  "Declined",
  SUM(
    W65,
    X65,
    Y65*
      IFERROR(VLOOKUP(AD65,'Rating Factors'!$BS:$BT,2,FALSE),1),
    Z65*
      IFERROR(VLOOKUP(AD65,'Rating Factors'!$BS:$BT,2,FALSE),1)*
      IFERROR(VLOOKUP(AC65,'Rating Factors'!$BV:$BW,2,FALSE),1),
  )
  * IFERROR(VLOOKUP(F65,'Rating Factors'!$A:$B,2,FALSE),1)
  * IFERROR(VLOOKUP(G65,'Rating Factors'!$C:$D,2,FALSE),1)
  * IFERROR(VLOOKUP(J65,'Rating Factors'!$F:$G,2,FALSE),1)
  * IFERROR(VLOOKUP(K65,'Rating Factors'!$H:$I,2,FALSE),1)
  * IFERROR(VLOOKUP(L65,'Rating Factors'!$J:$K,2,FALSE),1)
  * IFERROR(VLOOKUP(M65,'Rating Factors'!$L:$M,2,FALSE),1)
  * IFERROR(VLOOKUP(N65,'Rating Factors'!$N:$O,2,FALSE),1)
  * IFERROR(VLOOKUP(O65,'Rating Factors'!$P:$Q,2,FALSE),1)
  * IFERROR(VLOOKUP(P65,'Rating Factors'!$BO:$BP,2,FALSE),1)
  * IFERROR(VLOOKUP(Q65,'Rating Factors'!$BQ:$BR,2,FALSE),1)
  * IFERROR(VLOOKUP(R65,'Rating Factors'!$R:$S,2,FALSE),1)
  * IFERROR(VLOOKUP(S65,'Rating Factors'!$T:$U,2,FALSE),1)
  * IFERROR(VLOOKUP(T65,'Rating Factors'!$V:$W,2,FALSE),1)
  * IFERROR(VLOOKUP(U65,'Rating Factors'!$X:$Y,2,FALSE),1)
  * IFERROR(VLOOKUP(AI65,'Rating Factors'!$AB:$AC,2,FALSE),1)
  * IFERROR(VLOOKUP(AK65,'Rating Factors'!$AK:$AL,2,FALSE),1)
  * IFERROR(VLOOKUP(AL65,'Rating Factors'!$AP:$AQ,2,FALSE),1)
  * IFERROR(LOOKUP(SUM($W$8:$Z$127),'Rating Factors'!$BD:$BD,'Rating Factors'!$BE:$BE),1))</f>
        <v>0</v>
      </c>
      <c r="AY65" s="158">
        <f>IF(OR(AQ65="Declined", AN65&lt;&gt;"Y"),
   0,
   N(AT65)*N('Rating Factors'!$AG$2)/100
)</f>
        <v>0</v>
      </c>
      <c r="AZ65" s="158">
        <f t="shared" si="14"/>
        <v>0</v>
      </c>
      <c r="BA65" s="142">
        <f>_xlfn.LET(
  _xlpm.base_ok, AND(AQ65&lt;&gt;"Declined", N(AQ65)&gt;0),
  _xlpm.is_full, EXACT(AG65, "Full Limit"),
  _xlpm.total_tiv, SUM($AT$8:$AT$127),
  _xlpm.loc_tiv, N(BE65),
  _xlpm.full_rate, N('Rating Factors'!$AO$10),
  _xlpm.min_per_loc, N('Rating Factors'!$AN$10),
  _xlpm.n_locs, N(E62),
  _xlpm.sched_prem, MAX(_xlpm.total_tiv*_xlpm.full_rate, _xlpm.min_per_loc*_xlpm.n_locs),
  _xlpm.alloc_prem, IF(_xlpm.total_tiv=0, 0, _xlpm.sched_prem * _xlpm.loc_tiv / _xlpm.total_tiv),
  _xlpm.cap_prem, IFERROR(VLOOKUP(AG65, 'Rating Factors'!$AM:$AN, 2, FALSE), 0),
  IF(_xlpm.base_ok,
     IF(_xlpm.is_full, _xlpm.alloc_prem, _xlpm.cap_prem),
     0
  )
)</f>
        <v>0</v>
      </c>
      <c r="BB65" s="143">
        <f t="shared" si="12"/>
        <v>0</v>
      </c>
      <c r="BC65" s="144">
        <f t="shared" si="7"/>
        <v>0</v>
      </c>
      <c r="BD65" s="145">
        <f t="shared" si="8"/>
        <v>0</v>
      </c>
      <c r="BE65" s="115">
        <f t="shared" si="13"/>
        <v>0</v>
      </c>
      <c r="BF65" s="106" t="str">
        <f t="shared" si="9"/>
        <v/>
      </c>
      <c r="BG65"/>
      <c r="BI65" s="67" t="str" cm="1">
        <f t="array" ref="BI65">IF(E65="","",LEFT(_xlfn.REGEXEXTRACT(UPPER(E65),"[A-Z][0-9][A-Z][ -]?[0-9][A-Z][0-9]"),3))</f>
        <v/>
      </c>
      <c r="BJ65" s="66" t="str">
        <f>IF(E65="","",_xlfn.XLOOKUP(BI65, CrestaP!B:B, CrestaP!D:D, ""))</f>
        <v/>
      </c>
      <c r="BK65" s="66" t="str">
        <f>IFERROR(
  INDEX(
    CrestaP!H4:M9,
    MATCH(J65, {"Frame","Brick Veneer","Joisted Masonry","Non-Combustible","Masonry Non-Combustible","Fire resistive"}, 0),
    MATCH(TEXT(BJ65,"@"), {"16","E5","E4","E3","E2","E1"}, 0)
  ),
  ""
)</f>
        <v/>
      </c>
    </row>
    <row r="66" spans="2:63" hidden="1" x14ac:dyDescent="0.25">
      <c r="B66"/>
      <c r="C66" s="24">
        <f t="shared" si="10"/>
        <v>59</v>
      </c>
      <c r="D66" s="25" t="s">
        <v>30</v>
      </c>
      <c r="E66" s="175"/>
      <c r="F66" s="89"/>
      <c r="G66" s="89"/>
      <c r="H66" s="104"/>
      <c r="I66" s="104"/>
      <c r="J66" s="89"/>
      <c r="K66" s="89"/>
      <c r="L66" s="89"/>
      <c r="M66" s="89"/>
      <c r="N66" s="89"/>
      <c r="O66" s="89"/>
      <c r="P66" s="104"/>
      <c r="Q66" s="104"/>
      <c r="R66" s="89"/>
      <c r="S66" s="89"/>
      <c r="T66" s="89"/>
      <c r="U66" s="25"/>
      <c r="V66" s="119"/>
      <c r="W66" s="19"/>
      <c r="X66" s="104"/>
      <c r="Y66" s="104"/>
      <c r="Z66" s="104"/>
      <c r="AA66" s="19"/>
      <c r="AB66" s="160" t="str">
        <f>IF(OR(AA66="",G66=""),"",VLOOKUP(G66,'Rating Factors'!$C:$E,3,FALSE)*AA66)</f>
        <v/>
      </c>
      <c r="AC66" s="20"/>
      <c r="AD66" s="20"/>
      <c r="AE66" s="104"/>
      <c r="AF66" s="96"/>
      <c r="AG66" s="20"/>
      <c r="AH66" s="119"/>
      <c r="AI66" s="19"/>
      <c r="AJ66" s="19"/>
      <c r="AK66" s="19"/>
      <c r="AL66" s="96"/>
      <c r="AM66" s="119"/>
      <c r="AN66" s="19"/>
      <c r="AO66" s="20"/>
      <c r="AP66" s="119"/>
      <c r="AQ66" s="115">
        <f t="shared" si="2"/>
        <v>0</v>
      </c>
      <c r="AR66" s="171">
        <f>IF(OR(Z66="",N(Z66)=0),
IF(
N(H66)+N(I66)=0,
0,
MAX(
IFERROR(VLOOKUP(AE66,'Rating Factors'!$BJ:$BK,2,FALSE),0),
((N(H66)*'Rating Factors'!$BF$2)+(N(I66)*'Rating Factors'!$BG$2))
*IFERROR(VLOOKUP(AE66,'Rating Factors'!$Z:$AA,2,FALSE),1)
*IFERROR(VLOOKUP(AJ66,'Rating Factors'!$AD:$AE,2,FALSE),1)
*IFERROR(VLOOKUP(SUM($H$8:$H$127),'Rating Factors'!$BM:$BN,2),1)
*IFERROR(VLOOKUP(SUM($I$8:$I$127),'Rating Factors'!$BH:$BI,2),1)
)
),
MAX(IFERROR(VLOOKUP(AE66,'Rating Factors'!$BJ:$BL,3,FALSE),0),
((N(I66)*'Rating Factors'!$BG$2))
*IFERROR(VLOOKUP(AE66,'Rating Factors'!$Z:$AA,2,FALSE),1)
*IFERROR(VLOOKUP(AJ66,'Rating Factors'!$AD:$AE,2,FALSE),1)
*N(AA66)* IFERROR(VLOOKUP(G66,'Rating Factors'!$C:$D,2,FALSE),1)*0.0045
))</f>
        <v>0</v>
      </c>
      <c r="AS66" s="172">
        <f t="shared" si="3"/>
        <v>0</v>
      </c>
      <c r="AT66" s="115">
        <f t="shared" si="11"/>
        <v>0</v>
      </c>
      <c r="AU66" s="173" t="str">
        <f t="shared" si="4"/>
        <v/>
      </c>
      <c r="AV66" s="174" t="str">
        <f t="shared" si="5"/>
        <v/>
      </c>
      <c r="AW66" s="119"/>
      <c r="AX66" s="141">
        <f>IF(
  OR(
    IFERROR(VLOOKUP(F66,'Rating Factors'!$A:$B,2,FALSE)="Decline",FALSE),
    IFERROR(VLOOKUP(G66,'Rating Factors'!$C:$D,2,FALSE)="Decline",FALSE),
    IFERROR(VLOOKUP(J66,'Rating Factors'!$F:$G,2,FALSE)="Decline",FALSE),
    IFERROR(VLOOKUP(K66,'Rating Factors'!$H:$I,2,FALSE)="Decline",FALSE),
    IFERROR(VLOOKUP(L66,'Rating Factors'!$J:$K,2,FALSE)="Decline",FALSE),
    IFERROR(VLOOKUP(M66,'Rating Factors'!$L:$M,2,FALSE)="Decline",FALSE),
    IFERROR(VLOOKUP(N66,'Rating Factors'!$N:$O,2,FALSE)="Decline",FALSE),
    IFERROR(VLOOKUP(O66,'Rating Factors'!$P:$Q,2,FALSE)="Decline",FALSE),
    IFERROR(VLOOKUP(P66,'Rating Factors'!$BO:$BP,2,FALSE)="Decline",FALSE),
    IFERROR(VLOOKUP(Q66,'Rating Factors'!$BQ:$BR,2,FALSE)="Decline",FALSE),
    IFERROR(VLOOKUP(R66,'Rating Factors'!$R:$S,2,FALSE)="Decline",FALSE),
    IFERROR(VLOOKUP(S66,'Rating Factors'!$T:$U,2,FALSE)="Decline",FALSE),
    IFERROR(VLOOKUP(T66,'Rating Factors'!$V:$W,2,FALSE)="Decline",FALSE),
    IFERROR(VLOOKUP(U66,'Rating Factors'!$X:$Y,2,FALSE)="Decline",FALSE),
    IFERROR(VLOOKUP(AI66,'Rating Factors'!$AB:$AC,2,FALSE)="Decline",FALSE),
    IFERROR(VLOOKUP(AK66,'Rating Factors'!$AK:$AL,2,FALSE)="Decline",FALSE),
    IFERROR(VLOOKUP(AL66,'Rating Factors'!$AP:$AQ,2,FALSE)="Decline",FALSE)
  ),
  "Declined",
  SUM(
    W66,
    X66,
    Y66*
      IFERROR(VLOOKUP(AD66,'Rating Factors'!$BS:$BT,2,FALSE),1),
    Z66*
      IFERROR(VLOOKUP(AD66,'Rating Factors'!$BS:$BT,2,FALSE),1)*
      IFERROR(VLOOKUP(AC66,'Rating Factors'!$BV:$BW,2,FALSE),1),
  )
  * IFERROR(VLOOKUP(F66,'Rating Factors'!$A:$B,2,FALSE),1)
  * IFERROR(VLOOKUP(G66,'Rating Factors'!$C:$D,2,FALSE),1)
  * IFERROR(VLOOKUP(J66,'Rating Factors'!$F:$G,2,FALSE),1)
  * IFERROR(VLOOKUP(K66,'Rating Factors'!$H:$I,2,FALSE),1)
  * IFERROR(VLOOKUP(L66,'Rating Factors'!$J:$K,2,FALSE),1)
  * IFERROR(VLOOKUP(M66,'Rating Factors'!$L:$M,2,FALSE),1)
  * IFERROR(VLOOKUP(N66,'Rating Factors'!$N:$O,2,FALSE),1)
  * IFERROR(VLOOKUP(O66,'Rating Factors'!$P:$Q,2,FALSE),1)
  * IFERROR(VLOOKUP(P66,'Rating Factors'!$BO:$BP,2,FALSE),1)
  * IFERROR(VLOOKUP(Q66,'Rating Factors'!$BQ:$BR,2,FALSE),1)
  * IFERROR(VLOOKUP(R66,'Rating Factors'!$R:$S,2,FALSE),1)
  * IFERROR(VLOOKUP(S66,'Rating Factors'!$T:$U,2,FALSE),1)
  * IFERROR(VLOOKUP(T66,'Rating Factors'!$V:$W,2,FALSE),1)
  * IFERROR(VLOOKUP(U66,'Rating Factors'!$X:$Y,2,FALSE),1)
  * IFERROR(VLOOKUP(AI66,'Rating Factors'!$AB:$AC,2,FALSE),1)
  * IFERROR(VLOOKUP(AK66,'Rating Factors'!$AK:$AL,2,FALSE),1)
  * IFERROR(VLOOKUP(AL66,'Rating Factors'!$AP:$AQ,2,FALSE),1)
  * IFERROR(LOOKUP(SUM($W$8:$Z$127),'Rating Factors'!$BD:$BD,'Rating Factors'!$BE:$BE),1))</f>
        <v>0</v>
      </c>
      <c r="AY66" s="158">
        <f>IF(OR(AQ66="Declined", AN66&lt;&gt;"Y"),
   0,
   N(AT66)*N('Rating Factors'!$AG$2)/100
)</f>
        <v>0</v>
      </c>
      <c r="AZ66" s="158">
        <f t="shared" si="14"/>
        <v>0</v>
      </c>
      <c r="BA66" s="142">
        <f>_xlfn.LET(
  _xlpm.base_ok, AND(AQ66&lt;&gt;"Declined", N(AQ66)&gt;0),
  _xlpm.is_full, EXACT(AG66, "Full Limit"),
  _xlpm.total_tiv, SUM($AT$8:$AT$127),
  _xlpm.loc_tiv, N(BE66),
  _xlpm.full_rate, N('Rating Factors'!$AO$10),
  _xlpm.min_per_loc, N('Rating Factors'!$AN$10),
  _xlpm.n_locs, N(E63),
  _xlpm.sched_prem, MAX(_xlpm.total_tiv*_xlpm.full_rate, _xlpm.min_per_loc*_xlpm.n_locs),
  _xlpm.alloc_prem, IF(_xlpm.total_tiv=0, 0, _xlpm.sched_prem * _xlpm.loc_tiv / _xlpm.total_tiv),
  _xlpm.cap_prem, IFERROR(VLOOKUP(AG66, 'Rating Factors'!$AM:$AN, 2, FALSE), 0),
  IF(_xlpm.base_ok,
     IF(_xlpm.is_full, _xlpm.alloc_prem, _xlpm.cap_prem),
     0
  )
)</f>
        <v>0</v>
      </c>
      <c r="BB66" s="143">
        <f t="shared" si="12"/>
        <v>0</v>
      </c>
      <c r="BC66" s="144">
        <f t="shared" si="7"/>
        <v>0</v>
      </c>
      <c r="BD66" s="145">
        <f t="shared" si="8"/>
        <v>0</v>
      </c>
      <c r="BE66" s="115">
        <f t="shared" si="13"/>
        <v>0</v>
      </c>
      <c r="BF66" s="106" t="str">
        <f t="shared" si="9"/>
        <v/>
      </c>
      <c r="BG66"/>
      <c r="BI66" s="67" t="str" cm="1">
        <f t="array" ref="BI66">IF(E66="","",LEFT(_xlfn.REGEXEXTRACT(UPPER(E66),"[A-Z][0-9][A-Z][ -]?[0-9][A-Z][0-9]"),3))</f>
        <v/>
      </c>
      <c r="BJ66" s="66" t="str">
        <f>IF(E66="","",_xlfn.XLOOKUP(BI66, CrestaP!B:B, CrestaP!D:D, ""))</f>
        <v/>
      </c>
      <c r="BK66" s="66" t="str">
        <f>IFERROR(
  INDEX(
    CrestaP!H4:M9,
    MATCH(J66, {"Frame","Brick Veneer","Joisted Masonry","Non-Combustible","Masonry Non-Combustible","Fire resistive"}, 0),
    MATCH(TEXT(BJ66,"@"), {"16","E5","E4","E3","E2","E1"}, 0)
  ),
  ""
)</f>
        <v/>
      </c>
    </row>
    <row r="67" spans="2:63" hidden="1" x14ac:dyDescent="0.25">
      <c r="B67"/>
      <c r="C67" s="24">
        <f t="shared" si="10"/>
        <v>60</v>
      </c>
      <c r="D67" s="25" t="s">
        <v>30</v>
      </c>
      <c r="E67" s="175"/>
      <c r="F67" s="89"/>
      <c r="G67" s="89"/>
      <c r="H67" s="104"/>
      <c r="I67" s="104"/>
      <c r="J67" s="89"/>
      <c r="K67" s="89"/>
      <c r="L67" s="89"/>
      <c r="M67" s="89"/>
      <c r="N67" s="89"/>
      <c r="O67" s="89"/>
      <c r="P67" s="104"/>
      <c r="Q67" s="104"/>
      <c r="R67" s="89"/>
      <c r="S67" s="89"/>
      <c r="T67" s="89"/>
      <c r="U67" s="25"/>
      <c r="V67" s="119"/>
      <c r="W67" s="19"/>
      <c r="X67" s="104"/>
      <c r="Y67" s="104"/>
      <c r="Z67" s="104"/>
      <c r="AA67" s="19"/>
      <c r="AB67" s="160" t="str">
        <f>IF(OR(AA67="",G67=""),"",VLOOKUP(G67,'Rating Factors'!$C:$E,3,FALSE)*AA67)</f>
        <v/>
      </c>
      <c r="AC67" s="20"/>
      <c r="AD67" s="20"/>
      <c r="AE67" s="104"/>
      <c r="AF67" s="96"/>
      <c r="AG67" s="20"/>
      <c r="AH67" s="119"/>
      <c r="AI67" s="19"/>
      <c r="AJ67" s="19"/>
      <c r="AK67" s="19"/>
      <c r="AL67" s="96"/>
      <c r="AM67" s="119"/>
      <c r="AN67" s="19"/>
      <c r="AO67" s="20"/>
      <c r="AP67" s="119"/>
      <c r="AQ67" s="115">
        <f t="shared" si="2"/>
        <v>0</v>
      </c>
      <c r="AR67" s="171">
        <f>IF(OR(Z67="",N(Z67)=0),
IF(
N(H67)+N(I67)=0,
0,
MAX(
IFERROR(VLOOKUP(AE67,'Rating Factors'!$BJ:$BK,2,FALSE),0),
((N(H67)*'Rating Factors'!$BF$2)+(N(I67)*'Rating Factors'!$BG$2))
*IFERROR(VLOOKUP(AE67,'Rating Factors'!$Z:$AA,2,FALSE),1)
*IFERROR(VLOOKUP(AJ67,'Rating Factors'!$AD:$AE,2,FALSE),1)
*IFERROR(VLOOKUP(SUM($H$8:$H$127),'Rating Factors'!$BM:$BN,2),1)
*IFERROR(VLOOKUP(SUM($I$8:$I$127),'Rating Factors'!$BH:$BI,2),1)
)
),
MAX(IFERROR(VLOOKUP(AE67,'Rating Factors'!$BJ:$BL,3,FALSE),0),
((N(I67)*'Rating Factors'!$BG$2))
*IFERROR(VLOOKUP(AE67,'Rating Factors'!$Z:$AA,2,FALSE),1)
*IFERROR(VLOOKUP(AJ67,'Rating Factors'!$AD:$AE,2,FALSE),1)
*N(AA67)* IFERROR(VLOOKUP(G67,'Rating Factors'!$C:$D,2,FALSE),1)*0.0045
))</f>
        <v>0</v>
      </c>
      <c r="AS67" s="172">
        <f t="shared" si="3"/>
        <v>0</v>
      </c>
      <c r="AT67" s="115">
        <f t="shared" si="11"/>
        <v>0</v>
      </c>
      <c r="AU67" s="173" t="str">
        <f t="shared" si="4"/>
        <v/>
      </c>
      <c r="AV67" s="174" t="str">
        <f t="shared" si="5"/>
        <v/>
      </c>
      <c r="AW67" s="119"/>
      <c r="AX67" s="141">
        <f>IF(
  OR(
    IFERROR(VLOOKUP(F67,'Rating Factors'!$A:$B,2,FALSE)="Decline",FALSE),
    IFERROR(VLOOKUP(G67,'Rating Factors'!$C:$D,2,FALSE)="Decline",FALSE),
    IFERROR(VLOOKUP(J67,'Rating Factors'!$F:$G,2,FALSE)="Decline",FALSE),
    IFERROR(VLOOKUP(K67,'Rating Factors'!$H:$I,2,FALSE)="Decline",FALSE),
    IFERROR(VLOOKUP(L67,'Rating Factors'!$J:$K,2,FALSE)="Decline",FALSE),
    IFERROR(VLOOKUP(M67,'Rating Factors'!$L:$M,2,FALSE)="Decline",FALSE),
    IFERROR(VLOOKUP(N67,'Rating Factors'!$N:$O,2,FALSE)="Decline",FALSE),
    IFERROR(VLOOKUP(O67,'Rating Factors'!$P:$Q,2,FALSE)="Decline",FALSE),
    IFERROR(VLOOKUP(P67,'Rating Factors'!$BO:$BP,2,FALSE)="Decline",FALSE),
    IFERROR(VLOOKUP(Q67,'Rating Factors'!$BQ:$BR,2,FALSE)="Decline",FALSE),
    IFERROR(VLOOKUP(R67,'Rating Factors'!$R:$S,2,FALSE)="Decline",FALSE),
    IFERROR(VLOOKUP(S67,'Rating Factors'!$T:$U,2,FALSE)="Decline",FALSE),
    IFERROR(VLOOKUP(T67,'Rating Factors'!$V:$W,2,FALSE)="Decline",FALSE),
    IFERROR(VLOOKUP(U67,'Rating Factors'!$X:$Y,2,FALSE)="Decline",FALSE),
    IFERROR(VLOOKUP(AI67,'Rating Factors'!$AB:$AC,2,FALSE)="Decline",FALSE),
    IFERROR(VLOOKUP(AK67,'Rating Factors'!$AK:$AL,2,FALSE)="Decline",FALSE),
    IFERROR(VLOOKUP(AL67,'Rating Factors'!$AP:$AQ,2,FALSE)="Decline",FALSE)
  ),
  "Declined",
  SUM(
    W67,
    X67,
    Y67*
      IFERROR(VLOOKUP(AD67,'Rating Factors'!$BS:$BT,2,FALSE),1),
    Z67*
      IFERROR(VLOOKUP(AD67,'Rating Factors'!$BS:$BT,2,FALSE),1)*
      IFERROR(VLOOKUP(AC67,'Rating Factors'!$BV:$BW,2,FALSE),1),
  )
  * IFERROR(VLOOKUP(F67,'Rating Factors'!$A:$B,2,FALSE),1)
  * IFERROR(VLOOKUP(G67,'Rating Factors'!$C:$D,2,FALSE),1)
  * IFERROR(VLOOKUP(J67,'Rating Factors'!$F:$G,2,FALSE),1)
  * IFERROR(VLOOKUP(K67,'Rating Factors'!$H:$I,2,FALSE),1)
  * IFERROR(VLOOKUP(L67,'Rating Factors'!$J:$K,2,FALSE),1)
  * IFERROR(VLOOKUP(M67,'Rating Factors'!$L:$M,2,FALSE),1)
  * IFERROR(VLOOKUP(N67,'Rating Factors'!$N:$O,2,FALSE),1)
  * IFERROR(VLOOKUP(O67,'Rating Factors'!$P:$Q,2,FALSE),1)
  * IFERROR(VLOOKUP(P67,'Rating Factors'!$BO:$BP,2,FALSE),1)
  * IFERROR(VLOOKUP(Q67,'Rating Factors'!$BQ:$BR,2,FALSE),1)
  * IFERROR(VLOOKUP(R67,'Rating Factors'!$R:$S,2,FALSE),1)
  * IFERROR(VLOOKUP(S67,'Rating Factors'!$T:$U,2,FALSE),1)
  * IFERROR(VLOOKUP(T67,'Rating Factors'!$V:$W,2,FALSE),1)
  * IFERROR(VLOOKUP(U67,'Rating Factors'!$X:$Y,2,FALSE),1)
  * IFERROR(VLOOKUP(AI67,'Rating Factors'!$AB:$AC,2,FALSE),1)
  * IFERROR(VLOOKUP(AK67,'Rating Factors'!$AK:$AL,2,FALSE),1)
  * IFERROR(VLOOKUP(AL67,'Rating Factors'!$AP:$AQ,2,FALSE),1)
  * IFERROR(LOOKUP(SUM($W$8:$Z$127),'Rating Factors'!$BD:$BD,'Rating Factors'!$BE:$BE),1))</f>
        <v>0</v>
      </c>
      <c r="AY67" s="158">
        <f>IF(OR(AQ67="Declined", AN67&lt;&gt;"Y"),
   0,
   N(AT67)*N('Rating Factors'!$AG$2)/100
)</f>
        <v>0</v>
      </c>
      <c r="AZ67" s="158">
        <f t="shared" si="14"/>
        <v>0</v>
      </c>
      <c r="BA67" s="142">
        <f>_xlfn.LET(
  _xlpm.base_ok, AND(AQ67&lt;&gt;"Declined", N(AQ67)&gt;0),
  _xlpm.is_full, EXACT(AG67, "Full Limit"),
  _xlpm.total_tiv, SUM($AT$8:$AT$127),
  _xlpm.loc_tiv, N(BE67),
  _xlpm.full_rate, N('Rating Factors'!$AO$10),
  _xlpm.min_per_loc, N('Rating Factors'!$AN$10),
  _xlpm.n_locs, N(E64),
  _xlpm.sched_prem, MAX(_xlpm.total_tiv*_xlpm.full_rate, _xlpm.min_per_loc*_xlpm.n_locs),
  _xlpm.alloc_prem, IF(_xlpm.total_tiv=0, 0, _xlpm.sched_prem * _xlpm.loc_tiv / _xlpm.total_tiv),
  _xlpm.cap_prem, IFERROR(VLOOKUP(AG67, 'Rating Factors'!$AM:$AN, 2, FALSE), 0),
  IF(_xlpm.base_ok,
     IF(_xlpm.is_full, _xlpm.alloc_prem, _xlpm.cap_prem),
     0
  )
)</f>
        <v>0</v>
      </c>
      <c r="BB67" s="143">
        <f t="shared" si="12"/>
        <v>0</v>
      </c>
      <c r="BC67" s="144">
        <f t="shared" si="7"/>
        <v>0</v>
      </c>
      <c r="BD67" s="145">
        <f t="shared" si="8"/>
        <v>0</v>
      </c>
      <c r="BE67" s="115">
        <f t="shared" si="13"/>
        <v>0</v>
      </c>
      <c r="BF67" s="106" t="str">
        <f t="shared" si="9"/>
        <v/>
      </c>
      <c r="BG67"/>
      <c r="BI67" s="67" t="str" cm="1">
        <f t="array" ref="BI67">IF(E67="","",LEFT(_xlfn.REGEXEXTRACT(UPPER(E67),"[A-Z][0-9][A-Z][ -]?[0-9][A-Z][0-9]"),3))</f>
        <v/>
      </c>
      <c r="BJ67" s="66" t="str">
        <f>IF(E67="","",_xlfn.XLOOKUP(BI67, CrestaP!B:B, CrestaP!D:D, ""))</f>
        <v/>
      </c>
      <c r="BK67" s="66" t="str">
        <f>IFERROR(
  INDEX(
    CrestaP!H4:M9,
    MATCH(J67, {"Frame","Brick Veneer","Joisted Masonry","Non-Combustible","Masonry Non-Combustible","Fire resistive"}, 0),
    MATCH(TEXT(BJ67,"@"), {"16","E5","E4","E3","E2","E1"}, 0)
  ),
  ""
)</f>
        <v/>
      </c>
    </row>
    <row r="68" spans="2:63" hidden="1" x14ac:dyDescent="0.25">
      <c r="B68"/>
      <c r="C68" s="24">
        <f t="shared" si="10"/>
        <v>61</v>
      </c>
      <c r="D68" s="25" t="s">
        <v>30</v>
      </c>
      <c r="E68" s="175"/>
      <c r="F68" s="89"/>
      <c r="G68" s="89"/>
      <c r="H68" s="104"/>
      <c r="I68" s="104"/>
      <c r="J68" s="89"/>
      <c r="K68" s="89"/>
      <c r="L68" s="89"/>
      <c r="M68" s="89"/>
      <c r="N68" s="89"/>
      <c r="O68" s="89"/>
      <c r="P68" s="104"/>
      <c r="Q68" s="104"/>
      <c r="R68" s="89"/>
      <c r="S68" s="89"/>
      <c r="T68" s="89"/>
      <c r="U68" s="25"/>
      <c r="V68" s="119"/>
      <c r="W68" s="19"/>
      <c r="X68" s="104"/>
      <c r="Y68" s="104"/>
      <c r="Z68" s="104"/>
      <c r="AA68" s="19"/>
      <c r="AB68" s="160" t="str">
        <f>IF(OR(AA68="",G68=""),"",VLOOKUP(G68,'Rating Factors'!$C:$E,3,FALSE)*AA68)</f>
        <v/>
      </c>
      <c r="AC68" s="20"/>
      <c r="AD68" s="20"/>
      <c r="AE68" s="104"/>
      <c r="AF68" s="96"/>
      <c r="AG68" s="20"/>
      <c r="AH68" s="119"/>
      <c r="AI68" s="19"/>
      <c r="AJ68" s="19"/>
      <c r="AK68" s="19"/>
      <c r="AL68" s="96"/>
      <c r="AM68" s="119"/>
      <c r="AN68" s="19"/>
      <c r="AO68" s="20"/>
      <c r="AP68" s="119"/>
      <c r="AQ68" s="115">
        <f t="shared" si="2"/>
        <v>0</v>
      </c>
      <c r="AR68" s="171">
        <f>IF(OR(Z68="",N(Z68)=0),
IF(
N(H68)+N(I68)=0,
0,
MAX(
IFERROR(VLOOKUP(AE68,'Rating Factors'!$BJ:$BK,2,FALSE),0),
((N(H68)*'Rating Factors'!$BF$2)+(N(I68)*'Rating Factors'!$BG$2))
*IFERROR(VLOOKUP(AE68,'Rating Factors'!$Z:$AA,2,FALSE),1)
*IFERROR(VLOOKUP(AJ68,'Rating Factors'!$AD:$AE,2,FALSE),1)
*IFERROR(VLOOKUP(SUM($H$8:$H$127),'Rating Factors'!$BM:$BN,2),1)
*IFERROR(VLOOKUP(SUM($I$8:$I$127),'Rating Factors'!$BH:$BI,2),1)
)
),
MAX(IFERROR(VLOOKUP(AE68,'Rating Factors'!$BJ:$BL,3,FALSE),0),
((N(I68)*'Rating Factors'!$BG$2))
*IFERROR(VLOOKUP(AE68,'Rating Factors'!$Z:$AA,2,FALSE),1)
*IFERROR(VLOOKUP(AJ68,'Rating Factors'!$AD:$AE,2,FALSE),1)
*N(AA68)* IFERROR(VLOOKUP(G68,'Rating Factors'!$C:$D,2,FALSE),1)*0.0045
))</f>
        <v>0</v>
      </c>
      <c r="AS68" s="172">
        <f t="shared" si="3"/>
        <v>0</v>
      </c>
      <c r="AT68" s="115">
        <f t="shared" si="11"/>
        <v>0</v>
      </c>
      <c r="AU68" s="173" t="str">
        <f t="shared" si="4"/>
        <v/>
      </c>
      <c r="AV68" s="174" t="str">
        <f t="shared" si="5"/>
        <v/>
      </c>
      <c r="AW68" s="119"/>
      <c r="AX68" s="141">
        <f>IF(
  OR(
    IFERROR(VLOOKUP(F68,'Rating Factors'!$A:$B,2,FALSE)="Decline",FALSE),
    IFERROR(VLOOKUP(G68,'Rating Factors'!$C:$D,2,FALSE)="Decline",FALSE),
    IFERROR(VLOOKUP(J68,'Rating Factors'!$F:$G,2,FALSE)="Decline",FALSE),
    IFERROR(VLOOKUP(K68,'Rating Factors'!$H:$I,2,FALSE)="Decline",FALSE),
    IFERROR(VLOOKUP(L68,'Rating Factors'!$J:$K,2,FALSE)="Decline",FALSE),
    IFERROR(VLOOKUP(M68,'Rating Factors'!$L:$M,2,FALSE)="Decline",FALSE),
    IFERROR(VLOOKUP(N68,'Rating Factors'!$N:$O,2,FALSE)="Decline",FALSE),
    IFERROR(VLOOKUP(O68,'Rating Factors'!$P:$Q,2,FALSE)="Decline",FALSE),
    IFERROR(VLOOKUP(P68,'Rating Factors'!$BO:$BP,2,FALSE)="Decline",FALSE),
    IFERROR(VLOOKUP(Q68,'Rating Factors'!$BQ:$BR,2,FALSE)="Decline",FALSE),
    IFERROR(VLOOKUP(R68,'Rating Factors'!$R:$S,2,FALSE)="Decline",FALSE),
    IFERROR(VLOOKUP(S68,'Rating Factors'!$T:$U,2,FALSE)="Decline",FALSE),
    IFERROR(VLOOKUP(T68,'Rating Factors'!$V:$W,2,FALSE)="Decline",FALSE),
    IFERROR(VLOOKUP(U68,'Rating Factors'!$X:$Y,2,FALSE)="Decline",FALSE),
    IFERROR(VLOOKUP(AI68,'Rating Factors'!$AB:$AC,2,FALSE)="Decline",FALSE),
    IFERROR(VLOOKUP(AK68,'Rating Factors'!$AK:$AL,2,FALSE)="Decline",FALSE),
    IFERROR(VLOOKUP(AL68,'Rating Factors'!$AP:$AQ,2,FALSE)="Decline",FALSE)
  ),
  "Declined",
  SUM(
    W68,
    X68,
    Y68*
      IFERROR(VLOOKUP(AD68,'Rating Factors'!$BS:$BT,2,FALSE),1),
    Z68*
      IFERROR(VLOOKUP(AD68,'Rating Factors'!$BS:$BT,2,FALSE),1)*
      IFERROR(VLOOKUP(AC68,'Rating Factors'!$BV:$BW,2,FALSE),1),
  )
  * IFERROR(VLOOKUP(F68,'Rating Factors'!$A:$B,2,FALSE),1)
  * IFERROR(VLOOKUP(G68,'Rating Factors'!$C:$D,2,FALSE),1)
  * IFERROR(VLOOKUP(J68,'Rating Factors'!$F:$G,2,FALSE),1)
  * IFERROR(VLOOKUP(K68,'Rating Factors'!$H:$I,2,FALSE),1)
  * IFERROR(VLOOKUP(L68,'Rating Factors'!$J:$K,2,FALSE),1)
  * IFERROR(VLOOKUP(M68,'Rating Factors'!$L:$M,2,FALSE),1)
  * IFERROR(VLOOKUP(N68,'Rating Factors'!$N:$O,2,FALSE),1)
  * IFERROR(VLOOKUP(O68,'Rating Factors'!$P:$Q,2,FALSE),1)
  * IFERROR(VLOOKUP(P68,'Rating Factors'!$BO:$BP,2,FALSE),1)
  * IFERROR(VLOOKUP(Q68,'Rating Factors'!$BQ:$BR,2,FALSE),1)
  * IFERROR(VLOOKUP(R68,'Rating Factors'!$R:$S,2,FALSE),1)
  * IFERROR(VLOOKUP(S68,'Rating Factors'!$T:$U,2,FALSE),1)
  * IFERROR(VLOOKUP(T68,'Rating Factors'!$V:$W,2,FALSE),1)
  * IFERROR(VLOOKUP(U68,'Rating Factors'!$X:$Y,2,FALSE),1)
  * IFERROR(VLOOKUP(AI68,'Rating Factors'!$AB:$AC,2,FALSE),1)
  * IFERROR(VLOOKUP(AK68,'Rating Factors'!$AK:$AL,2,FALSE),1)
  * IFERROR(VLOOKUP(AL68,'Rating Factors'!$AP:$AQ,2,FALSE),1)
  * IFERROR(LOOKUP(SUM($W$8:$Z$127),'Rating Factors'!$BD:$BD,'Rating Factors'!$BE:$BE),1))</f>
        <v>0</v>
      </c>
      <c r="AY68" s="158">
        <f>IF(OR(AQ68="Declined", AN68&lt;&gt;"Y"),
   0,
   N(AT68)*N('Rating Factors'!$AG$2)/100
)</f>
        <v>0</v>
      </c>
      <c r="AZ68" s="158">
        <f t="shared" si="14"/>
        <v>0</v>
      </c>
      <c r="BA68" s="142">
        <f>_xlfn.LET(
  _xlpm.base_ok, AND(AQ68&lt;&gt;"Declined", N(AQ68)&gt;0),
  _xlpm.is_full, EXACT(AG68, "Full Limit"),
  _xlpm.total_tiv, SUM($AT$8:$AT$127),
  _xlpm.loc_tiv, N(BE68),
  _xlpm.full_rate, N('Rating Factors'!$AO$10),
  _xlpm.min_per_loc, N('Rating Factors'!$AN$10),
  _xlpm.n_locs, N(E65),
  _xlpm.sched_prem, MAX(_xlpm.total_tiv*_xlpm.full_rate, _xlpm.min_per_loc*_xlpm.n_locs),
  _xlpm.alloc_prem, IF(_xlpm.total_tiv=0, 0, _xlpm.sched_prem * _xlpm.loc_tiv / _xlpm.total_tiv),
  _xlpm.cap_prem, IFERROR(VLOOKUP(AG68, 'Rating Factors'!$AM:$AN, 2, FALSE), 0),
  IF(_xlpm.base_ok,
     IF(_xlpm.is_full, _xlpm.alloc_prem, _xlpm.cap_prem),
     0
  )
)</f>
        <v>0</v>
      </c>
      <c r="BB68" s="143">
        <f t="shared" si="12"/>
        <v>0</v>
      </c>
      <c r="BC68" s="144">
        <f t="shared" si="7"/>
        <v>0</v>
      </c>
      <c r="BD68" s="145">
        <f t="shared" si="8"/>
        <v>0</v>
      </c>
      <c r="BE68" s="115">
        <f t="shared" si="13"/>
        <v>0</v>
      </c>
      <c r="BF68" s="106" t="str">
        <f t="shared" si="9"/>
        <v/>
      </c>
      <c r="BG68"/>
      <c r="BI68" s="67" t="str" cm="1">
        <f t="array" ref="BI68">IF(E68="","",LEFT(_xlfn.REGEXEXTRACT(UPPER(E68),"[A-Z][0-9][A-Z][ -]?[0-9][A-Z][0-9]"),3))</f>
        <v/>
      </c>
      <c r="BJ68" s="66" t="str">
        <f>IF(E68="","",_xlfn.XLOOKUP(BI68, CrestaP!B:B, CrestaP!D:D, ""))</f>
        <v/>
      </c>
      <c r="BK68" s="66" t="str">
        <f>IFERROR(
  INDEX(
    CrestaP!H4:M9,
    MATCH(J68, {"Frame","Brick Veneer","Joisted Masonry","Non-Combustible","Masonry Non-Combustible","Fire resistive"}, 0),
    MATCH(TEXT(BJ68,"@"), {"16","E5","E4","E3","E2","E1"}, 0)
  ),
  ""
)</f>
        <v/>
      </c>
    </row>
    <row r="69" spans="2:63" hidden="1" x14ac:dyDescent="0.25">
      <c r="B69"/>
      <c r="C69" s="24">
        <f t="shared" si="10"/>
        <v>62</v>
      </c>
      <c r="D69" s="25" t="s">
        <v>30</v>
      </c>
      <c r="E69" s="175"/>
      <c r="F69" s="89"/>
      <c r="G69" s="89"/>
      <c r="H69" s="104"/>
      <c r="I69" s="104"/>
      <c r="J69" s="89"/>
      <c r="K69" s="89"/>
      <c r="L69" s="89"/>
      <c r="M69" s="89"/>
      <c r="N69" s="89"/>
      <c r="O69" s="89"/>
      <c r="P69" s="104"/>
      <c r="Q69" s="104"/>
      <c r="R69" s="89"/>
      <c r="S69" s="89"/>
      <c r="T69" s="89"/>
      <c r="U69" s="25"/>
      <c r="V69" s="119"/>
      <c r="W69" s="19"/>
      <c r="X69" s="104"/>
      <c r="Y69" s="104"/>
      <c r="Z69" s="104"/>
      <c r="AA69" s="19"/>
      <c r="AB69" s="160" t="str">
        <f>IF(OR(AA69="",G69=""),"",VLOOKUP(G69,'Rating Factors'!$C:$E,3,FALSE)*AA69)</f>
        <v/>
      </c>
      <c r="AC69" s="20"/>
      <c r="AD69" s="20"/>
      <c r="AE69" s="104"/>
      <c r="AF69" s="96"/>
      <c r="AG69" s="20"/>
      <c r="AH69" s="119"/>
      <c r="AI69" s="19"/>
      <c r="AJ69" s="19"/>
      <c r="AK69" s="19"/>
      <c r="AL69" s="96"/>
      <c r="AM69" s="119"/>
      <c r="AN69" s="19"/>
      <c r="AO69" s="20"/>
      <c r="AP69" s="119"/>
      <c r="AQ69" s="115">
        <f t="shared" si="2"/>
        <v>0</v>
      </c>
      <c r="AR69" s="171">
        <f>IF(OR(Z69="",N(Z69)=0),
IF(
N(H69)+N(I69)=0,
0,
MAX(
IFERROR(VLOOKUP(AE69,'Rating Factors'!$BJ:$BK,2,FALSE),0),
((N(H69)*'Rating Factors'!$BF$2)+(N(I69)*'Rating Factors'!$BG$2))
*IFERROR(VLOOKUP(AE69,'Rating Factors'!$Z:$AA,2,FALSE),1)
*IFERROR(VLOOKUP(AJ69,'Rating Factors'!$AD:$AE,2,FALSE),1)
*IFERROR(VLOOKUP(SUM($H$8:$H$127),'Rating Factors'!$BM:$BN,2),1)
*IFERROR(VLOOKUP(SUM($I$8:$I$127),'Rating Factors'!$BH:$BI,2),1)
)
),
MAX(IFERROR(VLOOKUP(AE69,'Rating Factors'!$BJ:$BL,3,FALSE),0),
((N(I69)*'Rating Factors'!$BG$2))
*IFERROR(VLOOKUP(AE69,'Rating Factors'!$Z:$AA,2,FALSE),1)
*IFERROR(VLOOKUP(AJ69,'Rating Factors'!$AD:$AE,2,FALSE),1)
*N(AA69)* IFERROR(VLOOKUP(G69,'Rating Factors'!$C:$D,2,FALSE),1)*0.0045
))</f>
        <v>0</v>
      </c>
      <c r="AS69" s="172">
        <f t="shared" si="3"/>
        <v>0</v>
      </c>
      <c r="AT69" s="115">
        <f t="shared" si="11"/>
        <v>0</v>
      </c>
      <c r="AU69" s="173" t="str">
        <f t="shared" si="4"/>
        <v/>
      </c>
      <c r="AV69" s="174" t="str">
        <f t="shared" si="5"/>
        <v/>
      </c>
      <c r="AW69" s="119"/>
      <c r="AX69" s="141">
        <f>IF(
  OR(
    IFERROR(VLOOKUP(F69,'Rating Factors'!$A:$B,2,FALSE)="Decline",FALSE),
    IFERROR(VLOOKUP(G69,'Rating Factors'!$C:$D,2,FALSE)="Decline",FALSE),
    IFERROR(VLOOKUP(J69,'Rating Factors'!$F:$G,2,FALSE)="Decline",FALSE),
    IFERROR(VLOOKUP(K69,'Rating Factors'!$H:$I,2,FALSE)="Decline",FALSE),
    IFERROR(VLOOKUP(L69,'Rating Factors'!$J:$K,2,FALSE)="Decline",FALSE),
    IFERROR(VLOOKUP(M69,'Rating Factors'!$L:$M,2,FALSE)="Decline",FALSE),
    IFERROR(VLOOKUP(N69,'Rating Factors'!$N:$O,2,FALSE)="Decline",FALSE),
    IFERROR(VLOOKUP(O69,'Rating Factors'!$P:$Q,2,FALSE)="Decline",FALSE),
    IFERROR(VLOOKUP(P69,'Rating Factors'!$BO:$BP,2,FALSE)="Decline",FALSE),
    IFERROR(VLOOKUP(Q69,'Rating Factors'!$BQ:$BR,2,FALSE)="Decline",FALSE),
    IFERROR(VLOOKUP(R69,'Rating Factors'!$R:$S,2,FALSE)="Decline",FALSE),
    IFERROR(VLOOKUP(S69,'Rating Factors'!$T:$U,2,FALSE)="Decline",FALSE),
    IFERROR(VLOOKUP(T69,'Rating Factors'!$V:$W,2,FALSE)="Decline",FALSE),
    IFERROR(VLOOKUP(U69,'Rating Factors'!$X:$Y,2,FALSE)="Decline",FALSE),
    IFERROR(VLOOKUP(AI69,'Rating Factors'!$AB:$AC,2,FALSE)="Decline",FALSE),
    IFERROR(VLOOKUP(AK69,'Rating Factors'!$AK:$AL,2,FALSE)="Decline",FALSE),
    IFERROR(VLOOKUP(AL69,'Rating Factors'!$AP:$AQ,2,FALSE)="Decline",FALSE)
  ),
  "Declined",
  SUM(
    W69,
    X69,
    Y69*
      IFERROR(VLOOKUP(AD69,'Rating Factors'!$BS:$BT,2,FALSE),1),
    Z69*
      IFERROR(VLOOKUP(AD69,'Rating Factors'!$BS:$BT,2,FALSE),1)*
      IFERROR(VLOOKUP(AC69,'Rating Factors'!$BV:$BW,2,FALSE),1),
  )
  * IFERROR(VLOOKUP(F69,'Rating Factors'!$A:$B,2,FALSE),1)
  * IFERROR(VLOOKUP(G69,'Rating Factors'!$C:$D,2,FALSE),1)
  * IFERROR(VLOOKUP(J69,'Rating Factors'!$F:$G,2,FALSE),1)
  * IFERROR(VLOOKUP(K69,'Rating Factors'!$H:$I,2,FALSE),1)
  * IFERROR(VLOOKUP(L69,'Rating Factors'!$J:$K,2,FALSE),1)
  * IFERROR(VLOOKUP(M69,'Rating Factors'!$L:$M,2,FALSE),1)
  * IFERROR(VLOOKUP(N69,'Rating Factors'!$N:$O,2,FALSE),1)
  * IFERROR(VLOOKUP(O69,'Rating Factors'!$P:$Q,2,FALSE),1)
  * IFERROR(VLOOKUP(P69,'Rating Factors'!$BO:$BP,2,FALSE),1)
  * IFERROR(VLOOKUP(Q69,'Rating Factors'!$BQ:$BR,2,FALSE),1)
  * IFERROR(VLOOKUP(R69,'Rating Factors'!$R:$S,2,FALSE),1)
  * IFERROR(VLOOKUP(S69,'Rating Factors'!$T:$U,2,FALSE),1)
  * IFERROR(VLOOKUP(T69,'Rating Factors'!$V:$W,2,FALSE),1)
  * IFERROR(VLOOKUP(U69,'Rating Factors'!$X:$Y,2,FALSE),1)
  * IFERROR(VLOOKUP(AI69,'Rating Factors'!$AB:$AC,2,FALSE),1)
  * IFERROR(VLOOKUP(AK69,'Rating Factors'!$AK:$AL,2,FALSE),1)
  * IFERROR(VLOOKUP(AL69,'Rating Factors'!$AP:$AQ,2,FALSE),1)
  * IFERROR(LOOKUP(SUM($W$8:$Z$127),'Rating Factors'!$BD:$BD,'Rating Factors'!$BE:$BE),1))</f>
        <v>0</v>
      </c>
      <c r="AY69" s="158">
        <f>IF(OR(AQ69="Declined", AN69&lt;&gt;"Y"),
   0,
   N(AT69)*N('Rating Factors'!$AG$2)/100
)</f>
        <v>0</v>
      </c>
      <c r="AZ69" s="158">
        <f t="shared" si="14"/>
        <v>0</v>
      </c>
      <c r="BA69" s="142">
        <f>_xlfn.LET(
  _xlpm.base_ok, AND(AQ69&lt;&gt;"Declined", N(AQ69)&gt;0),
  _xlpm.is_full, EXACT(AG69, "Full Limit"),
  _xlpm.total_tiv, SUM($AT$8:$AT$127),
  _xlpm.loc_tiv, N(BE69),
  _xlpm.full_rate, N('Rating Factors'!$AO$10),
  _xlpm.min_per_loc, N('Rating Factors'!$AN$10),
  _xlpm.n_locs, N(E66),
  _xlpm.sched_prem, MAX(_xlpm.total_tiv*_xlpm.full_rate, _xlpm.min_per_loc*_xlpm.n_locs),
  _xlpm.alloc_prem, IF(_xlpm.total_tiv=0, 0, _xlpm.sched_prem * _xlpm.loc_tiv / _xlpm.total_tiv),
  _xlpm.cap_prem, IFERROR(VLOOKUP(AG69, 'Rating Factors'!$AM:$AN, 2, FALSE), 0),
  IF(_xlpm.base_ok,
     IF(_xlpm.is_full, _xlpm.alloc_prem, _xlpm.cap_prem),
     0
  )
)</f>
        <v>0</v>
      </c>
      <c r="BB69" s="143">
        <f t="shared" si="12"/>
        <v>0</v>
      </c>
      <c r="BC69" s="144">
        <f t="shared" si="7"/>
        <v>0</v>
      </c>
      <c r="BD69" s="145">
        <f t="shared" si="8"/>
        <v>0</v>
      </c>
      <c r="BE69" s="115">
        <f t="shared" si="13"/>
        <v>0</v>
      </c>
      <c r="BF69" s="106" t="str">
        <f t="shared" si="9"/>
        <v/>
      </c>
      <c r="BG69"/>
      <c r="BI69" s="67" t="str" cm="1">
        <f t="array" ref="BI69">IF(E69="","",LEFT(_xlfn.REGEXEXTRACT(UPPER(E69),"[A-Z][0-9][A-Z][ -]?[0-9][A-Z][0-9]"),3))</f>
        <v/>
      </c>
      <c r="BJ69" s="66" t="str">
        <f>IF(E69="","",_xlfn.XLOOKUP(BI69, CrestaP!B:B, CrestaP!D:D, ""))</f>
        <v/>
      </c>
      <c r="BK69" s="66" t="str">
        <f>IFERROR(
  INDEX(
    CrestaP!H4:M9,
    MATCH(J69, {"Frame","Brick Veneer","Joisted Masonry","Non-Combustible","Masonry Non-Combustible","Fire resistive"}, 0),
    MATCH(TEXT(BJ69,"@"), {"16","E5","E4","E3","E2","E1"}, 0)
  ),
  ""
)</f>
        <v/>
      </c>
    </row>
    <row r="70" spans="2:63" hidden="1" x14ac:dyDescent="0.25">
      <c r="B70"/>
      <c r="C70" s="24">
        <f t="shared" si="10"/>
        <v>63</v>
      </c>
      <c r="D70" s="25" t="s">
        <v>30</v>
      </c>
      <c r="E70" s="175"/>
      <c r="F70" s="89"/>
      <c r="G70" s="89"/>
      <c r="H70" s="104"/>
      <c r="I70" s="104"/>
      <c r="J70" s="89"/>
      <c r="K70" s="89"/>
      <c r="L70" s="89"/>
      <c r="M70" s="89"/>
      <c r="N70" s="89"/>
      <c r="O70" s="89"/>
      <c r="P70" s="104"/>
      <c r="Q70" s="104"/>
      <c r="R70" s="89"/>
      <c r="S70" s="89"/>
      <c r="T70" s="89"/>
      <c r="U70" s="25"/>
      <c r="V70" s="119"/>
      <c r="W70" s="19"/>
      <c r="X70" s="104"/>
      <c r="Y70" s="104"/>
      <c r="Z70" s="104"/>
      <c r="AA70" s="19"/>
      <c r="AB70" s="160" t="str">
        <f>IF(OR(AA70="",G70=""),"",VLOOKUP(G70,'Rating Factors'!$C:$E,3,FALSE)*AA70)</f>
        <v/>
      </c>
      <c r="AC70" s="20"/>
      <c r="AD70" s="20"/>
      <c r="AE70" s="104"/>
      <c r="AF70" s="96"/>
      <c r="AG70" s="20"/>
      <c r="AH70" s="119"/>
      <c r="AI70" s="19"/>
      <c r="AJ70" s="19"/>
      <c r="AK70" s="19"/>
      <c r="AL70" s="96"/>
      <c r="AM70" s="119"/>
      <c r="AN70" s="19"/>
      <c r="AO70" s="20"/>
      <c r="AP70" s="119"/>
      <c r="AQ70" s="115">
        <f t="shared" si="2"/>
        <v>0</v>
      </c>
      <c r="AR70" s="171">
        <f>IF(OR(Z70="",N(Z70)=0),
IF(
N(H70)+N(I70)=0,
0,
MAX(
IFERROR(VLOOKUP(AE70,'Rating Factors'!$BJ:$BK,2,FALSE),0),
((N(H70)*'Rating Factors'!$BF$2)+(N(I70)*'Rating Factors'!$BG$2))
*IFERROR(VLOOKUP(AE70,'Rating Factors'!$Z:$AA,2,FALSE),1)
*IFERROR(VLOOKUP(AJ70,'Rating Factors'!$AD:$AE,2,FALSE),1)
*IFERROR(VLOOKUP(SUM($H$8:$H$127),'Rating Factors'!$BM:$BN,2),1)
*IFERROR(VLOOKUP(SUM($I$8:$I$127),'Rating Factors'!$BH:$BI,2),1)
)
),
MAX(IFERROR(VLOOKUP(AE70,'Rating Factors'!$BJ:$BL,3,FALSE),0),
((N(I70)*'Rating Factors'!$BG$2))
*IFERROR(VLOOKUP(AE70,'Rating Factors'!$Z:$AA,2,FALSE),1)
*IFERROR(VLOOKUP(AJ70,'Rating Factors'!$AD:$AE,2,FALSE),1)
*N(AA70)* IFERROR(VLOOKUP(G70,'Rating Factors'!$C:$D,2,FALSE),1)*0.0045
))</f>
        <v>0</v>
      </c>
      <c r="AS70" s="172">
        <f t="shared" si="3"/>
        <v>0</v>
      </c>
      <c r="AT70" s="115">
        <f t="shared" si="11"/>
        <v>0</v>
      </c>
      <c r="AU70" s="173" t="str">
        <f t="shared" si="4"/>
        <v/>
      </c>
      <c r="AV70" s="174" t="str">
        <f t="shared" si="5"/>
        <v/>
      </c>
      <c r="AW70" s="119"/>
      <c r="AX70" s="141">
        <f>IF(
  OR(
    IFERROR(VLOOKUP(F70,'Rating Factors'!$A:$B,2,FALSE)="Decline",FALSE),
    IFERROR(VLOOKUP(G70,'Rating Factors'!$C:$D,2,FALSE)="Decline",FALSE),
    IFERROR(VLOOKUP(J70,'Rating Factors'!$F:$G,2,FALSE)="Decline",FALSE),
    IFERROR(VLOOKUP(K70,'Rating Factors'!$H:$I,2,FALSE)="Decline",FALSE),
    IFERROR(VLOOKUP(L70,'Rating Factors'!$J:$K,2,FALSE)="Decline",FALSE),
    IFERROR(VLOOKUP(M70,'Rating Factors'!$L:$M,2,FALSE)="Decline",FALSE),
    IFERROR(VLOOKUP(N70,'Rating Factors'!$N:$O,2,FALSE)="Decline",FALSE),
    IFERROR(VLOOKUP(O70,'Rating Factors'!$P:$Q,2,FALSE)="Decline",FALSE),
    IFERROR(VLOOKUP(P70,'Rating Factors'!$BO:$BP,2,FALSE)="Decline",FALSE),
    IFERROR(VLOOKUP(Q70,'Rating Factors'!$BQ:$BR,2,FALSE)="Decline",FALSE),
    IFERROR(VLOOKUP(R70,'Rating Factors'!$R:$S,2,FALSE)="Decline",FALSE),
    IFERROR(VLOOKUP(S70,'Rating Factors'!$T:$U,2,FALSE)="Decline",FALSE),
    IFERROR(VLOOKUP(T70,'Rating Factors'!$V:$W,2,FALSE)="Decline",FALSE),
    IFERROR(VLOOKUP(U70,'Rating Factors'!$X:$Y,2,FALSE)="Decline",FALSE),
    IFERROR(VLOOKUP(AI70,'Rating Factors'!$AB:$AC,2,FALSE)="Decline",FALSE),
    IFERROR(VLOOKUP(AK70,'Rating Factors'!$AK:$AL,2,FALSE)="Decline",FALSE),
    IFERROR(VLOOKUP(AL70,'Rating Factors'!$AP:$AQ,2,FALSE)="Decline",FALSE)
  ),
  "Declined",
  SUM(
    W70,
    X70,
    Y70*
      IFERROR(VLOOKUP(AD70,'Rating Factors'!$BS:$BT,2,FALSE),1),
    Z70*
      IFERROR(VLOOKUP(AD70,'Rating Factors'!$BS:$BT,2,FALSE),1)*
      IFERROR(VLOOKUP(AC70,'Rating Factors'!$BV:$BW,2,FALSE),1),
  )
  * IFERROR(VLOOKUP(F70,'Rating Factors'!$A:$B,2,FALSE),1)
  * IFERROR(VLOOKUP(G70,'Rating Factors'!$C:$D,2,FALSE),1)
  * IFERROR(VLOOKUP(J70,'Rating Factors'!$F:$G,2,FALSE),1)
  * IFERROR(VLOOKUP(K70,'Rating Factors'!$H:$I,2,FALSE),1)
  * IFERROR(VLOOKUP(L70,'Rating Factors'!$J:$K,2,FALSE),1)
  * IFERROR(VLOOKUP(M70,'Rating Factors'!$L:$M,2,FALSE),1)
  * IFERROR(VLOOKUP(N70,'Rating Factors'!$N:$O,2,FALSE),1)
  * IFERROR(VLOOKUP(O70,'Rating Factors'!$P:$Q,2,FALSE),1)
  * IFERROR(VLOOKUP(P70,'Rating Factors'!$BO:$BP,2,FALSE),1)
  * IFERROR(VLOOKUP(Q70,'Rating Factors'!$BQ:$BR,2,FALSE),1)
  * IFERROR(VLOOKUP(R70,'Rating Factors'!$R:$S,2,FALSE),1)
  * IFERROR(VLOOKUP(S70,'Rating Factors'!$T:$U,2,FALSE),1)
  * IFERROR(VLOOKUP(T70,'Rating Factors'!$V:$W,2,FALSE),1)
  * IFERROR(VLOOKUP(U70,'Rating Factors'!$X:$Y,2,FALSE),1)
  * IFERROR(VLOOKUP(AI70,'Rating Factors'!$AB:$AC,2,FALSE),1)
  * IFERROR(VLOOKUP(AK70,'Rating Factors'!$AK:$AL,2,FALSE),1)
  * IFERROR(VLOOKUP(AL70,'Rating Factors'!$AP:$AQ,2,FALSE),1)
  * IFERROR(LOOKUP(SUM($W$8:$Z$127),'Rating Factors'!$BD:$BD,'Rating Factors'!$BE:$BE),1))</f>
        <v>0</v>
      </c>
      <c r="AY70" s="158">
        <f>IF(OR(AQ70="Declined", AN70&lt;&gt;"Y"),
   0,
   N(AT70)*N('Rating Factors'!$AG$2)/100
)</f>
        <v>0</v>
      </c>
      <c r="AZ70" s="158">
        <f t="shared" si="14"/>
        <v>0</v>
      </c>
      <c r="BA70" s="142">
        <f>_xlfn.LET(
  _xlpm.base_ok, AND(AQ70&lt;&gt;"Declined", N(AQ70)&gt;0),
  _xlpm.is_full, EXACT(AG70, "Full Limit"),
  _xlpm.total_tiv, SUM($AT$8:$AT$127),
  _xlpm.loc_tiv, N(BE70),
  _xlpm.full_rate, N('Rating Factors'!$AO$10),
  _xlpm.min_per_loc, N('Rating Factors'!$AN$10),
  _xlpm.n_locs, N(E67),
  _xlpm.sched_prem, MAX(_xlpm.total_tiv*_xlpm.full_rate, _xlpm.min_per_loc*_xlpm.n_locs),
  _xlpm.alloc_prem, IF(_xlpm.total_tiv=0, 0, _xlpm.sched_prem * _xlpm.loc_tiv / _xlpm.total_tiv),
  _xlpm.cap_prem, IFERROR(VLOOKUP(AG70, 'Rating Factors'!$AM:$AN, 2, FALSE), 0),
  IF(_xlpm.base_ok,
     IF(_xlpm.is_full, _xlpm.alloc_prem, _xlpm.cap_prem),
     0
  )
)</f>
        <v>0</v>
      </c>
      <c r="BB70" s="143">
        <f t="shared" si="12"/>
        <v>0</v>
      </c>
      <c r="BC70" s="144">
        <f t="shared" si="7"/>
        <v>0</v>
      </c>
      <c r="BD70" s="145">
        <f t="shared" si="8"/>
        <v>0</v>
      </c>
      <c r="BE70" s="115">
        <f t="shared" si="13"/>
        <v>0</v>
      </c>
      <c r="BF70" s="106" t="str">
        <f t="shared" si="9"/>
        <v/>
      </c>
      <c r="BG70"/>
      <c r="BI70" s="67" t="str" cm="1">
        <f t="array" ref="BI70">IF(E70="","",LEFT(_xlfn.REGEXEXTRACT(UPPER(E70),"[A-Z][0-9][A-Z][ -]?[0-9][A-Z][0-9]"),3))</f>
        <v/>
      </c>
      <c r="BJ70" s="66" t="str">
        <f>IF(E70="","",_xlfn.XLOOKUP(BI70, CrestaP!B:B, CrestaP!D:D, ""))</f>
        <v/>
      </c>
      <c r="BK70" s="66" t="str">
        <f>IFERROR(
  INDEX(
    CrestaP!H4:M9,
    MATCH(J70, {"Frame","Brick Veneer","Joisted Masonry","Non-Combustible","Masonry Non-Combustible","Fire resistive"}, 0),
    MATCH(TEXT(BJ70,"@"), {"16","E5","E4","E3","E2","E1"}, 0)
  ),
  ""
)</f>
        <v/>
      </c>
    </row>
    <row r="71" spans="2:63" hidden="1" x14ac:dyDescent="0.25">
      <c r="B71"/>
      <c r="C71" s="24">
        <f t="shared" si="10"/>
        <v>64</v>
      </c>
      <c r="D71" s="25" t="s">
        <v>30</v>
      </c>
      <c r="E71" s="175"/>
      <c r="F71" s="89"/>
      <c r="G71" s="89"/>
      <c r="H71" s="104"/>
      <c r="I71" s="104"/>
      <c r="J71" s="89"/>
      <c r="K71" s="89"/>
      <c r="L71" s="89"/>
      <c r="M71" s="89"/>
      <c r="N71" s="89"/>
      <c r="O71" s="89"/>
      <c r="P71" s="104"/>
      <c r="Q71" s="104"/>
      <c r="R71" s="89"/>
      <c r="S71" s="89"/>
      <c r="T71" s="89"/>
      <c r="U71" s="25"/>
      <c r="V71" s="119"/>
      <c r="W71" s="19"/>
      <c r="X71" s="104"/>
      <c r="Y71" s="104"/>
      <c r="Z71" s="104"/>
      <c r="AA71" s="19"/>
      <c r="AB71" s="160" t="str">
        <f>IF(OR(AA71="",G71=""),"",VLOOKUP(G71,'Rating Factors'!$C:$E,3,FALSE)*AA71)</f>
        <v/>
      </c>
      <c r="AC71" s="20"/>
      <c r="AD71" s="20"/>
      <c r="AE71" s="104"/>
      <c r="AF71" s="96"/>
      <c r="AG71" s="20"/>
      <c r="AH71" s="119"/>
      <c r="AI71" s="19"/>
      <c r="AJ71" s="19"/>
      <c r="AK71" s="19"/>
      <c r="AL71" s="96"/>
      <c r="AM71" s="119"/>
      <c r="AN71" s="19"/>
      <c r="AO71" s="20"/>
      <c r="AP71" s="119"/>
      <c r="AQ71" s="115">
        <f t="shared" si="2"/>
        <v>0</v>
      </c>
      <c r="AR71" s="171">
        <f>IF(OR(Z71="",N(Z71)=0),
IF(
N(H71)+N(I71)=0,
0,
MAX(
IFERROR(VLOOKUP(AE71,'Rating Factors'!$BJ:$BK,2,FALSE),0),
((N(H71)*'Rating Factors'!$BF$2)+(N(I71)*'Rating Factors'!$BG$2))
*IFERROR(VLOOKUP(AE71,'Rating Factors'!$Z:$AA,2,FALSE),1)
*IFERROR(VLOOKUP(AJ71,'Rating Factors'!$AD:$AE,2,FALSE),1)
*IFERROR(VLOOKUP(SUM($H$8:$H$127),'Rating Factors'!$BM:$BN,2),1)
*IFERROR(VLOOKUP(SUM($I$8:$I$127),'Rating Factors'!$BH:$BI,2),1)
)
),
MAX(IFERROR(VLOOKUP(AE71,'Rating Factors'!$BJ:$BL,3,FALSE),0),
((N(I71)*'Rating Factors'!$BG$2))
*IFERROR(VLOOKUP(AE71,'Rating Factors'!$Z:$AA,2,FALSE),1)
*IFERROR(VLOOKUP(AJ71,'Rating Factors'!$AD:$AE,2,FALSE),1)
*N(AA71)* IFERROR(VLOOKUP(G71,'Rating Factors'!$C:$D,2,FALSE),1)*0.0045
))</f>
        <v>0</v>
      </c>
      <c r="AS71" s="172">
        <f t="shared" si="3"/>
        <v>0</v>
      </c>
      <c r="AT71" s="115">
        <f t="shared" si="11"/>
        <v>0</v>
      </c>
      <c r="AU71" s="173" t="str">
        <f t="shared" si="4"/>
        <v/>
      </c>
      <c r="AV71" s="174" t="str">
        <f t="shared" si="5"/>
        <v/>
      </c>
      <c r="AW71" s="119"/>
      <c r="AX71" s="141">
        <f>IF(
  OR(
    IFERROR(VLOOKUP(F71,'Rating Factors'!$A:$B,2,FALSE)="Decline",FALSE),
    IFERROR(VLOOKUP(G71,'Rating Factors'!$C:$D,2,FALSE)="Decline",FALSE),
    IFERROR(VLOOKUP(J71,'Rating Factors'!$F:$G,2,FALSE)="Decline",FALSE),
    IFERROR(VLOOKUP(K71,'Rating Factors'!$H:$I,2,FALSE)="Decline",FALSE),
    IFERROR(VLOOKUP(L71,'Rating Factors'!$J:$K,2,FALSE)="Decline",FALSE),
    IFERROR(VLOOKUP(M71,'Rating Factors'!$L:$M,2,FALSE)="Decline",FALSE),
    IFERROR(VLOOKUP(N71,'Rating Factors'!$N:$O,2,FALSE)="Decline",FALSE),
    IFERROR(VLOOKUP(O71,'Rating Factors'!$P:$Q,2,FALSE)="Decline",FALSE),
    IFERROR(VLOOKUP(P71,'Rating Factors'!$BO:$BP,2,FALSE)="Decline",FALSE),
    IFERROR(VLOOKUP(Q71,'Rating Factors'!$BQ:$BR,2,FALSE)="Decline",FALSE),
    IFERROR(VLOOKUP(R71,'Rating Factors'!$R:$S,2,FALSE)="Decline",FALSE),
    IFERROR(VLOOKUP(S71,'Rating Factors'!$T:$U,2,FALSE)="Decline",FALSE),
    IFERROR(VLOOKUP(T71,'Rating Factors'!$V:$W,2,FALSE)="Decline",FALSE),
    IFERROR(VLOOKUP(U71,'Rating Factors'!$X:$Y,2,FALSE)="Decline",FALSE),
    IFERROR(VLOOKUP(AI71,'Rating Factors'!$AB:$AC,2,FALSE)="Decline",FALSE),
    IFERROR(VLOOKUP(AK71,'Rating Factors'!$AK:$AL,2,FALSE)="Decline",FALSE),
    IFERROR(VLOOKUP(AL71,'Rating Factors'!$AP:$AQ,2,FALSE)="Decline",FALSE)
  ),
  "Declined",
  SUM(
    W71,
    X71,
    Y71*
      IFERROR(VLOOKUP(AD71,'Rating Factors'!$BS:$BT,2,FALSE),1),
    Z71*
      IFERROR(VLOOKUP(AD71,'Rating Factors'!$BS:$BT,2,FALSE),1)*
      IFERROR(VLOOKUP(AC71,'Rating Factors'!$BV:$BW,2,FALSE),1),
  )
  * IFERROR(VLOOKUP(F71,'Rating Factors'!$A:$B,2,FALSE),1)
  * IFERROR(VLOOKUP(G71,'Rating Factors'!$C:$D,2,FALSE),1)
  * IFERROR(VLOOKUP(J71,'Rating Factors'!$F:$G,2,FALSE),1)
  * IFERROR(VLOOKUP(K71,'Rating Factors'!$H:$I,2,FALSE),1)
  * IFERROR(VLOOKUP(L71,'Rating Factors'!$J:$K,2,FALSE),1)
  * IFERROR(VLOOKUP(M71,'Rating Factors'!$L:$M,2,FALSE),1)
  * IFERROR(VLOOKUP(N71,'Rating Factors'!$N:$O,2,FALSE),1)
  * IFERROR(VLOOKUP(O71,'Rating Factors'!$P:$Q,2,FALSE),1)
  * IFERROR(VLOOKUP(P71,'Rating Factors'!$BO:$BP,2,FALSE),1)
  * IFERROR(VLOOKUP(Q71,'Rating Factors'!$BQ:$BR,2,FALSE),1)
  * IFERROR(VLOOKUP(R71,'Rating Factors'!$R:$S,2,FALSE),1)
  * IFERROR(VLOOKUP(S71,'Rating Factors'!$T:$U,2,FALSE),1)
  * IFERROR(VLOOKUP(T71,'Rating Factors'!$V:$W,2,FALSE),1)
  * IFERROR(VLOOKUP(U71,'Rating Factors'!$X:$Y,2,FALSE),1)
  * IFERROR(VLOOKUP(AI71,'Rating Factors'!$AB:$AC,2,FALSE),1)
  * IFERROR(VLOOKUP(AK71,'Rating Factors'!$AK:$AL,2,FALSE),1)
  * IFERROR(VLOOKUP(AL71,'Rating Factors'!$AP:$AQ,2,FALSE),1)
  * IFERROR(LOOKUP(SUM($W$8:$Z$127),'Rating Factors'!$BD:$BD,'Rating Factors'!$BE:$BE),1))</f>
        <v>0</v>
      </c>
      <c r="AY71" s="158">
        <f>IF(OR(AQ71="Declined", AN71&lt;&gt;"Y"),
   0,
   N(AT71)*N('Rating Factors'!$AG$2)/100
)</f>
        <v>0</v>
      </c>
      <c r="AZ71" s="158">
        <f t="shared" si="14"/>
        <v>0</v>
      </c>
      <c r="BA71" s="142">
        <f>_xlfn.LET(
  _xlpm.base_ok, AND(AQ71&lt;&gt;"Declined", N(AQ71)&gt;0),
  _xlpm.is_full, EXACT(AG71, "Full Limit"),
  _xlpm.total_tiv, SUM($AT$8:$AT$127),
  _xlpm.loc_tiv, N(BE71),
  _xlpm.full_rate, N('Rating Factors'!$AO$10),
  _xlpm.min_per_loc, N('Rating Factors'!$AN$10),
  _xlpm.n_locs, N(E68),
  _xlpm.sched_prem, MAX(_xlpm.total_tiv*_xlpm.full_rate, _xlpm.min_per_loc*_xlpm.n_locs),
  _xlpm.alloc_prem, IF(_xlpm.total_tiv=0, 0, _xlpm.sched_prem * _xlpm.loc_tiv / _xlpm.total_tiv),
  _xlpm.cap_prem, IFERROR(VLOOKUP(AG71, 'Rating Factors'!$AM:$AN, 2, FALSE), 0),
  IF(_xlpm.base_ok,
     IF(_xlpm.is_full, _xlpm.alloc_prem, _xlpm.cap_prem),
     0
  )
)</f>
        <v>0</v>
      </c>
      <c r="BB71" s="143">
        <f t="shared" si="12"/>
        <v>0</v>
      </c>
      <c r="BC71" s="144">
        <f t="shared" si="7"/>
        <v>0</v>
      </c>
      <c r="BD71" s="145">
        <f t="shared" si="8"/>
        <v>0</v>
      </c>
      <c r="BE71" s="115">
        <f t="shared" si="13"/>
        <v>0</v>
      </c>
      <c r="BF71" s="106" t="str">
        <f t="shared" si="9"/>
        <v/>
      </c>
      <c r="BG71"/>
      <c r="BI71" s="67" t="str" cm="1">
        <f t="array" ref="BI71">IF(E71="","",LEFT(_xlfn.REGEXEXTRACT(UPPER(E71),"[A-Z][0-9][A-Z][ -]?[0-9][A-Z][0-9]"),3))</f>
        <v/>
      </c>
      <c r="BJ71" s="66" t="str">
        <f>IF(E71="","",_xlfn.XLOOKUP(BI71, CrestaP!B:B, CrestaP!D:D, ""))</f>
        <v/>
      </c>
      <c r="BK71" s="66" t="str">
        <f>IFERROR(
  INDEX(
    CrestaP!H4:M9,
    MATCH(J71, {"Frame","Brick Veneer","Joisted Masonry","Non-Combustible","Masonry Non-Combustible","Fire resistive"}, 0),
    MATCH(TEXT(BJ71,"@"), {"16","E5","E4","E3","E2","E1"}, 0)
  ),
  ""
)</f>
        <v/>
      </c>
    </row>
    <row r="72" spans="2:63" hidden="1" x14ac:dyDescent="0.25">
      <c r="B72"/>
      <c r="C72" s="24">
        <f t="shared" si="10"/>
        <v>65</v>
      </c>
      <c r="D72" s="25" t="s">
        <v>30</v>
      </c>
      <c r="E72" s="175"/>
      <c r="F72" s="89"/>
      <c r="G72" s="89"/>
      <c r="H72" s="104"/>
      <c r="I72" s="104"/>
      <c r="J72" s="89"/>
      <c r="K72" s="89"/>
      <c r="L72" s="89"/>
      <c r="M72" s="89"/>
      <c r="N72" s="89"/>
      <c r="O72" s="89"/>
      <c r="P72" s="104"/>
      <c r="Q72" s="104"/>
      <c r="R72" s="89"/>
      <c r="S72" s="89"/>
      <c r="T72" s="89"/>
      <c r="U72" s="25"/>
      <c r="V72" s="119"/>
      <c r="W72" s="19"/>
      <c r="X72" s="104"/>
      <c r="Y72" s="104"/>
      <c r="Z72" s="104"/>
      <c r="AA72" s="19"/>
      <c r="AB72" s="160" t="str">
        <f>IF(OR(AA72="",G72=""),"",VLOOKUP(G72,'Rating Factors'!$C:$E,3,FALSE)*AA72)</f>
        <v/>
      </c>
      <c r="AC72" s="20"/>
      <c r="AD72" s="20"/>
      <c r="AE72" s="104"/>
      <c r="AF72" s="96"/>
      <c r="AG72" s="20"/>
      <c r="AH72" s="119"/>
      <c r="AI72" s="19"/>
      <c r="AJ72" s="19"/>
      <c r="AK72" s="19"/>
      <c r="AL72" s="96"/>
      <c r="AM72" s="119"/>
      <c r="AN72" s="19"/>
      <c r="AO72" s="20"/>
      <c r="AP72" s="119"/>
      <c r="AQ72" s="115">
        <f t="shared" si="2"/>
        <v>0</v>
      </c>
      <c r="AR72" s="171">
        <f>IF(OR(Z72="",N(Z72)=0),
IF(
N(H72)+N(I72)=0,
0,
MAX(
IFERROR(VLOOKUP(AE72,'Rating Factors'!$BJ:$BK,2,FALSE),0),
((N(H72)*'Rating Factors'!$BF$2)+(N(I72)*'Rating Factors'!$BG$2))
*IFERROR(VLOOKUP(AE72,'Rating Factors'!$Z:$AA,2,FALSE),1)
*IFERROR(VLOOKUP(AJ72,'Rating Factors'!$AD:$AE,2,FALSE),1)
*IFERROR(VLOOKUP(SUM($H$8:$H$127),'Rating Factors'!$BM:$BN,2),1)
*IFERROR(VLOOKUP(SUM($I$8:$I$127),'Rating Factors'!$BH:$BI,2),1)
)
),
MAX(IFERROR(VLOOKUP(AE72,'Rating Factors'!$BJ:$BL,3,FALSE),0),
((N(I72)*'Rating Factors'!$BG$2))
*IFERROR(VLOOKUP(AE72,'Rating Factors'!$Z:$AA,2,FALSE),1)
*IFERROR(VLOOKUP(AJ72,'Rating Factors'!$AD:$AE,2,FALSE),1)
*N(AA72)* IFERROR(VLOOKUP(G72,'Rating Factors'!$C:$D,2,FALSE),1)*0.0045
))</f>
        <v>0</v>
      </c>
      <c r="AS72" s="172">
        <f t="shared" si="3"/>
        <v>0</v>
      </c>
      <c r="AT72" s="115">
        <f t="shared" si="11"/>
        <v>0</v>
      </c>
      <c r="AU72" s="173" t="str">
        <f t="shared" si="4"/>
        <v/>
      </c>
      <c r="AV72" s="174" t="str">
        <f t="shared" si="5"/>
        <v/>
      </c>
      <c r="AW72" s="119"/>
      <c r="AX72" s="141">
        <f>IF(
  OR(
    IFERROR(VLOOKUP(F72,'Rating Factors'!$A:$B,2,FALSE)="Decline",FALSE),
    IFERROR(VLOOKUP(G72,'Rating Factors'!$C:$D,2,FALSE)="Decline",FALSE),
    IFERROR(VLOOKUP(J72,'Rating Factors'!$F:$G,2,FALSE)="Decline",FALSE),
    IFERROR(VLOOKUP(K72,'Rating Factors'!$H:$I,2,FALSE)="Decline",FALSE),
    IFERROR(VLOOKUP(L72,'Rating Factors'!$J:$K,2,FALSE)="Decline",FALSE),
    IFERROR(VLOOKUP(M72,'Rating Factors'!$L:$M,2,FALSE)="Decline",FALSE),
    IFERROR(VLOOKUP(N72,'Rating Factors'!$N:$O,2,FALSE)="Decline",FALSE),
    IFERROR(VLOOKUP(O72,'Rating Factors'!$P:$Q,2,FALSE)="Decline",FALSE),
    IFERROR(VLOOKUP(P72,'Rating Factors'!$BO:$BP,2,FALSE)="Decline",FALSE),
    IFERROR(VLOOKUP(Q72,'Rating Factors'!$BQ:$BR,2,FALSE)="Decline",FALSE),
    IFERROR(VLOOKUP(R72,'Rating Factors'!$R:$S,2,FALSE)="Decline",FALSE),
    IFERROR(VLOOKUP(S72,'Rating Factors'!$T:$U,2,FALSE)="Decline",FALSE),
    IFERROR(VLOOKUP(T72,'Rating Factors'!$V:$W,2,FALSE)="Decline",FALSE),
    IFERROR(VLOOKUP(U72,'Rating Factors'!$X:$Y,2,FALSE)="Decline",FALSE),
    IFERROR(VLOOKUP(AI72,'Rating Factors'!$AB:$AC,2,FALSE)="Decline",FALSE),
    IFERROR(VLOOKUP(AK72,'Rating Factors'!$AK:$AL,2,FALSE)="Decline",FALSE),
    IFERROR(VLOOKUP(AL72,'Rating Factors'!$AP:$AQ,2,FALSE)="Decline",FALSE)
  ),
  "Declined",
  SUM(
    W72,
    X72,
    Y72*
      IFERROR(VLOOKUP(AD72,'Rating Factors'!$BS:$BT,2,FALSE),1),
    Z72*
      IFERROR(VLOOKUP(AD72,'Rating Factors'!$BS:$BT,2,FALSE),1)*
      IFERROR(VLOOKUP(AC72,'Rating Factors'!$BV:$BW,2,FALSE),1),
  )
  * IFERROR(VLOOKUP(F72,'Rating Factors'!$A:$B,2,FALSE),1)
  * IFERROR(VLOOKUP(G72,'Rating Factors'!$C:$D,2,FALSE),1)
  * IFERROR(VLOOKUP(J72,'Rating Factors'!$F:$G,2,FALSE),1)
  * IFERROR(VLOOKUP(K72,'Rating Factors'!$H:$I,2,FALSE),1)
  * IFERROR(VLOOKUP(L72,'Rating Factors'!$J:$K,2,FALSE),1)
  * IFERROR(VLOOKUP(M72,'Rating Factors'!$L:$M,2,FALSE),1)
  * IFERROR(VLOOKUP(N72,'Rating Factors'!$N:$O,2,FALSE),1)
  * IFERROR(VLOOKUP(O72,'Rating Factors'!$P:$Q,2,FALSE),1)
  * IFERROR(VLOOKUP(P72,'Rating Factors'!$BO:$BP,2,FALSE),1)
  * IFERROR(VLOOKUP(Q72,'Rating Factors'!$BQ:$BR,2,FALSE),1)
  * IFERROR(VLOOKUP(R72,'Rating Factors'!$R:$S,2,FALSE),1)
  * IFERROR(VLOOKUP(S72,'Rating Factors'!$T:$U,2,FALSE),1)
  * IFERROR(VLOOKUP(T72,'Rating Factors'!$V:$W,2,FALSE),1)
  * IFERROR(VLOOKUP(U72,'Rating Factors'!$X:$Y,2,FALSE),1)
  * IFERROR(VLOOKUP(AI72,'Rating Factors'!$AB:$AC,2,FALSE),1)
  * IFERROR(VLOOKUP(AK72,'Rating Factors'!$AK:$AL,2,FALSE),1)
  * IFERROR(VLOOKUP(AL72,'Rating Factors'!$AP:$AQ,2,FALSE),1)
  * IFERROR(LOOKUP(SUM($W$8:$Z$127),'Rating Factors'!$BD:$BD,'Rating Factors'!$BE:$BE),1))</f>
        <v>0</v>
      </c>
      <c r="AY72" s="158">
        <f>IF(OR(AQ72="Declined", AN72&lt;&gt;"Y"),
   0,
   N(AT72)*N('Rating Factors'!$AG$2)/100
)</f>
        <v>0</v>
      </c>
      <c r="AZ72" s="158">
        <f t="shared" si="14"/>
        <v>0</v>
      </c>
      <c r="BA72" s="142">
        <f>_xlfn.LET(
  _xlpm.base_ok, AND(AQ72&lt;&gt;"Declined", N(AQ72)&gt;0),
  _xlpm.is_full, EXACT(AG72, "Full Limit"),
  _xlpm.total_tiv, SUM($AT$8:$AT$127),
  _xlpm.loc_tiv, N(BE72),
  _xlpm.full_rate, N('Rating Factors'!$AO$10),
  _xlpm.min_per_loc, N('Rating Factors'!$AN$10),
  _xlpm.n_locs, N(E69),
  _xlpm.sched_prem, MAX(_xlpm.total_tiv*_xlpm.full_rate, _xlpm.min_per_loc*_xlpm.n_locs),
  _xlpm.alloc_prem, IF(_xlpm.total_tiv=0, 0, _xlpm.sched_prem * _xlpm.loc_tiv / _xlpm.total_tiv),
  _xlpm.cap_prem, IFERROR(VLOOKUP(AG72, 'Rating Factors'!$AM:$AN, 2, FALSE), 0),
  IF(_xlpm.base_ok,
     IF(_xlpm.is_full, _xlpm.alloc_prem, _xlpm.cap_prem),
     0
  )
)</f>
        <v>0</v>
      </c>
      <c r="BB72" s="143">
        <f t="shared" ref="BB72:BB103" si="15">SUM(AX72:BA72)</f>
        <v>0</v>
      </c>
      <c r="BC72" s="144">
        <f t="shared" si="7"/>
        <v>0</v>
      </c>
      <c r="BD72" s="145">
        <f t="shared" si="8"/>
        <v>0</v>
      </c>
      <c r="BE72" s="115">
        <f t="shared" ref="BE72:BE103" si="16">AT72</f>
        <v>0</v>
      </c>
      <c r="BF72" s="106" t="str">
        <f t="shared" si="9"/>
        <v/>
      </c>
      <c r="BG72"/>
      <c r="BI72" s="67" t="str" cm="1">
        <f t="array" ref="BI72">IF(E72="","",LEFT(_xlfn.REGEXEXTRACT(UPPER(E72),"[A-Z][0-9][A-Z][ -]?[0-9][A-Z][0-9]"),3))</f>
        <v/>
      </c>
      <c r="BJ72" s="66" t="str">
        <f>IF(E72="","",_xlfn.XLOOKUP(BI72, CrestaP!B:B, CrestaP!D:D, ""))</f>
        <v/>
      </c>
      <c r="BK72" s="66" t="str">
        <f>IFERROR(
  INDEX(
    CrestaP!H4:M9,
    MATCH(J72, {"Frame","Brick Veneer","Joisted Masonry","Non-Combustible","Masonry Non-Combustible","Fire resistive"}, 0),
    MATCH(TEXT(BJ72,"@"), {"16","E5","E4","E3","E2","E1"}, 0)
  ),
  ""
)</f>
        <v/>
      </c>
    </row>
    <row r="73" spans="2:63" hidden="1" x14ac:dyDescent="0.25">
      <c r="B73"/>
      <c r="C73" s="24">
        <f t="shared" si="10"/>
        <v>66</v>
      </c>
      <c r="D73" s="25" t="s">
        <v>30</v>
      </c>
      <c r="E73" s="175"/>
      <c r="F73" s="89"/>
      <c r="G73" s="89"/>
      <c r="H73" s="104"/>
      <c r="I73" s="104"/>
      <c r="J73" s="89"/>
      <c r="K73" s="89"/>
      <c r="L73" s="89"/>
      <c r="M73" s="89"/>
      <c r="N73" s="89"/>
      <c r="O73" s="89"/>
      <c r="P73" s="104"/>
      <c r="Q73" s="104"/>
      <c r="R73" s="89"/>
      <c r="S73" s="89"/>
      <c r="T73" s="89"/>
      <c r="U73" s="25"/>
      <c r="V73" s="119"/>
      <c r="W73" s="19"/>
      <c r="X73" s="104"/>
      <c r="Y73" s="104"/>
      <c r="Z73" s="104"/>
      <c r="AA73" s="19"/>
      <c r="AB73" s="160" t="str">
        <f>IF(OR(AA73="",G73=""),"",VLOOKUP(G73,'Rating Factors'!$C:$E,3,FALSE)*AA73)</f>
        <v/>
      </c>
      <c r="AC73" s="20"/>
      <c r="AD73" s="20"/>
      <c r="AE73" s="104"/>
      <c r="AF73" s="96"/>
      <c r="AG73" s="20"/>
      <c r="AH73" s="119"/>
      <c r="AI73" s="19"/>
      <c r="AJ73" s="19"/>
      <c r="AK73" s="19"/>
      <c r="AL73" s="96"/>
      <c r="AM73" s="119"/>
      <c r="AN73" s="19"/>
      <c r="AO73" s="20"/>
      <c r="AP73" s="119"/>
      <c r="AQ73" s="115">
        <f t="shared" ref="AQ73:AQ127" si="17">IF(OR(AX73="Declined",N(AX73)=0),
  0,
  N(AX73)+SUM(N(AY73),N(AZ73),N(BA73))
)</f>
        <v>0</v>
      </c>
      <c r="AR73" s="171">
        <f>IF(OR(Z73="",N(Z73)=0),
IF(
N(H73)+N(I73)=0,
0,
MAX(
IFERROR(VLOOKUP(AE73,'Rating Factors'!$BJ:$BK,2,FALSE),0),
((N(H73)*'Rating Factors'!$BF$2)+(N(I73)*'Rating Factors'!$BG$2))
*IFERROR(VLOOKUP(AE73,'Rating Factors'!$Z:$AA,2,FALSE),1)
*IFERROR(VLOOKUP(AJ73,'Rating Factors'!$AD:$AE,2,FALSE),1)
*IFERROR(VLOOKUP(SUM($H$8:$H$127),'Rating Factors'!$BM:$BN,2),1)
*IFERROR(VLOOKUP(SUM($I$8:$I$127),'Rating Factors'!$BH:$BI,2),1)
)
),
MAX(IFERROR(VLOOKUP(AE73,'Rating Factors'!$BJ:$BL,3,FALSE),0),
((N(I73)*'Rating Factors'!$BG$2))
*IFERROR(VLOOKUP(AE73,'Rating Factors'!$Z:$AA,2,FALSE),1)
*IFERROR(VLOOKUP(AJ73,'Rating Factors'!$AD:$AE,2,FALSE),1)
*N(AA73)* IFERROR(VLOOKUP(G73,'Rating Factors'!$C:$D,2,FALSE),1)*0.0045
))</f>
        <v>0</v>
      </c>
      <c r="AS73" s="172">
        <f t="shared" ref="AS73:AS127" si="18">SUM(AQ73:AR73)</f>
        <v>0</v>
      </c>
      <c r="AT73" s="115">
        <f t="shared" ref="AT73:AT127" si="19">SUM(W73:Z73)</f>
        <v>0</v>
      </c>
      <c r="AU73" s="173" t="str">
        <f t="shared" ref="AU73:AU127" si="20">IF(AQ73=0, "", IF(AT73=0,"",AQ73/AT73))</f>
        <v/>
      </c>
      <c r="AV73" s="174" t="str">
        <f t="shared" ref="AV73:AV127" si="21">IF(OR(AX73="Declined", AX73=0), "", AX73/AT73)</f>
        <v/>
      </c>
      <c r="AW73" s="119"/>
      <c r="AX73" s="141">
        <f>IF(
  OR(
    IFERROR(VLOOKUP(F73,'Rating Factors'!$A:$B,2,FALSE)="Decline",FALSE),
    IFERROR(VLOOKUP(G73,'Rating Factors'!$C:$D,2,FALSE)="Decline",FALSE),
    IFERROR(VLOOKUP(J73,'Rating Factors'!$F:$G,2,FALSE)="Decline",FALSE),
    IFERROR(VLOOKUP(K73,'Rating Factors'!$H:$I,2,FALSE)="Decline",FALSE),
    IFERROR(VLOOKUP(L73,'Rating Factors'!$J:$K,2,FALSE)="Decline",FALSE),
    IFERROR(VLOOKUP(M73,'Rating Factors'!$L:$M,2,FALSE)="Decline",FALSE),
    IFERROR(VLOOKUP(N73,'Rating Factors'!$N:$O,2,FALSE)="Decline",FALSE),
    IFERROR(VLOOKUP(O73,'Rating Factors'!$P:$Q,2,FALSE)="Decline",FALSE),
    IFERROR(VLOOKUP(P73,'Rating Factors'!$BO:$BP,2,FALSE)="Decline",FALSE),
    IFERROR(VLOOKUP(Q73,'Rating Factors'!$BQ:$BR,2,FALSE)="Decline",FALSE),
    IFERROR(VLOOKUP(R73,'Rating Factors'!$R:$S,2,FALSE)="Decline",FALSE),
    IFERROR(VLOOKUP(S73,'Rating Factors'!$T:$U,2,FALSE)="Decline",FALSE),
    IFERROR(VLOOKUP(T73,'Rating Factors'!$V:$W,2,FALSE)="Decline",FALSE),
    IFERROR(VLOOKUP(U73,'Rating Factors'!$X:$Y,2,FALSE)="Decline",FALSE),
    IFERROR(VLOOKUP(AI73,'Rating Factors'!$AB:$AC,2,FALSE)="Decline",FALSE),
    IFERROR(VLOOKUP(AK73,'Rating Factors'!$AK:$AL,2,FALSE)="Decline",FALSE),
    IFERROR(VLOOKUP(AL73,'Rating Factors'!$AP:$AQ,2,FALSE)="Decline",FALSE)
  ),
  "Declined",
  SUM(
    W73,
    X73,
    Y73*
      IFERROR(VLOOKUP(AD73,'Rating Factors'!$BS:$BT,2,FALSE),1),
    Z73*
      IFERROR(VLOOKUP(AD73,'Rating Factors'!$BS:$BT,2,FALSE),1)*
      IFERROR(VLOOKUP(AC73,'Rating Factors'!$BV:$BW,2,FALSE),1),
  )
  * IFERROR(VLOOKUP(F73,'Rating Factors'!$A:$B,2,FALSE),1)
  * IFERROR(VLOOKUP(G73,'Rating Factors'!$C:$D,2,FALSE),1)
  * IFERROR(VLOOKUP(J73,'Rating Factors'!$F:$G,2,FALSE),1)
  * IFERROR(VLOOKUP(K73,'Rating Factors'!$H:$I,2,FALSE),1)
  * IFERROR(VLOOKUP(L73,'Rating Factors'!$J:$K,2,FALSE),1)
  * IFERROR(VLOOKUP(M73,'Rating Factors'!$L:$M,2,FALSE),1)
  * IFERROR(VLOOKUP(N73,'Rating Factors'!$N:$O,2,FALSE),1)
  * IFERROR(VLOOKUP(O73,'Rating Factors'!$P:$Q,2,FALSE),1)
  * IFERROR(VLOOKUP(P73,'Rating Factors'!$BO:$BP,2,FALSE),1)
  * IFERROR(VLOOKUP(Q73,'Rating Factors'!$BQ:$BR,2,FALSE),1)
  * IFERROR(VLOOKUP(R73,'Rating Factors'!$R:$S,2,FALSE),1)
  * IFERROR(VLOOKUP(S73,'Rating Factors'!$T:$U,2,FALSE),1)
  * IFERROR(VLOOKUP(T73,'Rating Factors'!$V:$W,2,FALSE),1)
  * IFERROR(VLOOKUP(U73,'Rating Factors'!$X:$Y,2,FALSE),1)
  * IFERROR(VLOOKUP(AI73,'Rating Factors'!$AB:$AC,2,FALSE),1)
  * IFERROR(VLOOKUP(AK73,'Rating Factors'!$AK:$AL,2,FALSE),1)
  * IFERROR(VLOOKUP(AL73,'Rating Factors'!$AP:$AQ,2,FALSE),1)
  * IFERROR(LOOKUP(SUM($W$8:$Z$127),'Rating Factors'!$BD:$BD,'Rating Factors'!$BE:$BE),1))</f>
        <v>0</v>
      </c>
      <c r="AY73" s="158">
        <f>IF(OR(AQ73="Declined", AN73&lt;&gt;"Y"),
   0,
   N(AT73)*N('Rating Factors'!$AG$2)/100
)</f>
        <v>0</v>
      </c>
      <c r="AZ73" s="158">
        <f t="shared" ref="AZ73:AZ104" si="22">IF(OR(AQ73="Declined", AO73&lt;&gt;"Y", E73=""),
   0,
   N(AT73)*N(BK73)/100
)</f>
        <v>0</v>
      </c>
      <c r="BA73" s="142">
        <f>_xlfn.LET(
  _xlpm.base_ok, AND(AQ73&lt;&gt;"Declined", N(AQ73)&gt;0),
  _xlpm.is_full, EXACT(AG73, "Full Limit"),
  _xlpm.total_tiv, SUM($AT$8:$AT$127),
  _xlpm.loc_tiv, N(BE73),
  _xlpm.full_rate, N('Rating Factors'!$AO$10),
  _xlpm.min_per_loc, N('Rating Factors'!$AN$10),
  _xlpm.n_locs, N(E70),
  _xlpm.sched_prem, MAX(_xlpm.total_tiv*_xlpm.full_rate, _xlpm.min_per_loc*_xlpm.n_locs),
  _xlpm.alloc_prem, IF(_xlpm.total_tiv=0, 0, _xlpm.sched_prem * _xlpm.loc_tiv / _xlpm.total_tiv),
  _xlpm.cap_prem, IFERROR(VLOOKUP(AG73, 'Rating Factors'!$AM:$AN, 2, FALSE), 0),
  IF(_xlpm.base_ok,
     IF(_xlpm.is_full, _xlpm.alloc_prem, _xlpm.cap_prem),
     0
  )
)</f>
        <v>0</v>
      </c>
      <c r="BB73" s="143">
        <f t="shared" si="15"/>
        <v>0</v>
      </c>
      <c r="BC73" s="144">
        <f t="shared" ref="BC73:BC127" si="23">AR73</f>
        <v>0</v>
      </c>
      <c r="BD73" s="145">
        <f t="shared" ref="BD73:BD127" si="24">BB73+BC73</f>
        <v>0</v>
      </c>
      <c r="BE73" s="115">
        <f t="shared" si="16"/>
        <v>0</v>
      </c>
      <c r="BF73" s="106" t="str">
        <f t="shared" ref="BF73:BF127" si="25">IF(BE73=0,"",BB73/BE73)</f>
        <v/>
      </c>
      <c r="BG73"/>
      <c r="BI73" s="67" t="str" cm="1">
        <f t="array" ref="BI73">IF(E73="","",LEFT(_xlfn.REGEXEXTRACT(UPPER(E73),"[A-Z][0-9][A-Z][ -]?[0-9][A-Z][0-9]"),3))</f>
        <v/>
      </c>
      <c r="BJ73" s="66" t="str">
        <f>IF(E73="","",_xlfn.XLOOKUP(BI73, CrestaP!B:B, CrestaP!D:D, ""))</f>
        <v/>
      </c>
      <c r="BK73" s="66" t="str">
        <f>IFERROR(
  INDEX(
    CrestaP!H4:M9,
    MATCH(J73, {"Frame","Brick Veneer","Joisted Masonry","Non-Combustible","Masonry Non-Combustible","Fire resistive"}, 0),
    MATCH(TEXT(BJ73,"@"), {"16","E5","E4","E3","E2","E1"}, 0)
  ),
  ""
)</f>
        <v/>
      </c>
    </row>
    <row r="74" spans="2:63" hidden="1" x14ac:dyDescent="0.25">
      <c r="B74"/>
      <c r="C74" s="24">
        <f t="shared" ref="C74:C127" si="26">C73+1</f>
        <v>67</v>
      </c>
      <c r="D74" s="25" t="s">
        <v>30</v>
      </c>
      <c r="E74" s="175"/>
      <c r="F74" s="89"/>
      <c r="G74" s="89"/>
      <c r="H74" s="104"/>
      <c r="I74" s="104"/>
      <c r="J74" s="89"/>
      <c r="K74" s="89"/>
      <c r="L74" s="89"/>
      <c r="M74" s="89"/>
      <c r="N74" s="89"/>
      <c r="O74" s="89"/>
      <c r="P74" s="104"/>
      <c r="Q74" s="104"/>
      <c r="R74" s="89"/>
      <c r="S74" s="89"/>
      <c r="T74" s="89"/>
      <c r="U74" s="25"/>
      <c r="V74" s="119"/>
      <c r="W74" s="19"/>
      <c r="X74" s="104"/>
      <c r="Y74" s="104"/>
      <c r="Z74" s="104"/>
      <c r="AA74" s="19"/>
      <c r="AB74" s="160" t="str">
        <f>IF(OR(AA74="",G74=""),"",VLOOKUP(G74,'Rating Factors'!$C:$E,3,FALSE)*AA74)</f>
        <v/>
      </c>
      <c r="AC74" s="20"/>
      <c r="AD74" s="20"/>
      <c r="AE74" s="104"/>
      <c r="AF74" s="96"/>
      <c r="AG74" s="20"/>
      <c r="AH74" s="119"/>
      <c r="AI74" s="19"/>
      <c r="AJ74" s="19"/>
      <c r="AK74" s="19"/>
      <c r="AL74" s="96"/>
      <c r="AM74" s="119"/>
      <c r="AN74" s="19"/>
      <c r="AO74" s="20"/>
      <c r="AP74" s="119"/>
      <c r="AQ74" s="115">
        <f t="shared" si="17"/>
        <v>0</v>
      </c>
      <c r="AR74" s="171">
        <f>IF(OR(Z74="",N(Z74)=0),
IF(
N(H74)+N(I74)=0,
0,
MAX(
IFERROR(VLOOKUP(AE74,'Rating Factors'!$BJ:$BK,2,FALSE),0),
((N(H74)*'Rating Factors'!$BF$2)+(N(I74)*'Rating Factors'!$BG$2))
*IFERROR(VLOOKUP(AE74,'Rating Factors'!$Z:$AA,2,FALSE),1)
*IFERROR(VLOOKUP(AJ74,'Rating Factors'!$AD:$AE,2,FALSE),1)
*IFERROR(VLOOKUP(SUM($H$8:$H$127),'Rating Factors'!$BM:$BN,2),1)
*IFERROR(VLOOKUP(SUM($I$8:$I$127),'Rating Factors'!$BH:$BI,2),1)
)
),
MAX(IFERROR(VLOOKUP(AE74,'Rating Factors'!$BJ:$BL,3,FALSE),0),
((N(I74)*'Rating Factors'!$BG$2))
*IFERROR(VLOOKUP(AE74,'Rating Factors'!$Z:$AA,2,FALSE),1)
*IFERROR(VLOOKUP(AJ74,'Rating Factors'!$AD:$AE,2,FALSE),1)
*N(AA74)* IFERROR(VLOOKUP(G74,'Rating Factors'!$C:$D,2,FALSE),1)*0.0045
))</f>
        <v>0</v>
      </c>
      <c r="AS74" s="172">
        <f t="shared" si="18"/>
        <v>0</v>
      </c>
      <c r="AT74" s="115">
        <f t="shared" si="19"/>
        <v>0</v>
      </c>
      <c r="AU74" s="173" t="str">
        <f t="shared" si="20"/>
        <v/>
      </c>
      <c r="AV74" s="174" t="str">
        <f t="shared" si="21"/>
        <v/>
      </c>
      <c r="AW74" s="119"/>
      <c r="AX74" s="141">
        <f>IF(
  OR(
    IFERROR(VLOOKUP(F74,'Rating Factors'!$A:$B,2,FALSE)="Decline",FALSE),
    IFERROR(VLOOKUP(G74,'Rating Factors'!$C:$D,2,FALSE)="Decline",FALSE),
    IFERROR(VLOOKUP(J74,'Rating Factors'!$F:$G,2,FALSE)="Decline",FALSE),
    IFERROR(VLOOKUP(K74,'Rating Factors'!$H:$I,2,FALSE)="Decline",FALSE),
    IFERROR(VLOOKUP(L74,'Rating Factors'!$J:$K,2,FALSE)="Decline",FALSE),
    IFERROR(VLOOKUP(M74,'Rating Factors'!$L:$M,2,FALSE)="Decline",FALSE),
    IFERROR(VLOOKUP(N74,'Rating Factors'!$N:$O,2,FALSE)="Decline",FALSE),
    IFERROR(VLOOKUP(O74,'Rating Factors'!$P:$Q,2,FALSE)="Decline",FALSE),
    IFERROR(VLOOKUP(P74,'Rating Factors'!$BO:$BP,2,FALSE)="Decline",FALSE),
    IFERROR(VLOOKUP(Q74,'Rating Factors'!$BQ:$BR,2,FALSE)="Decline",FALSE),
    IFERROR(VLOOKUP(R74,'Rating Factors'!$R:$S,2,FALSE)="Decline",FALSE),
    IFERROR(VLOOKUP(S74,'Rating Factors'!$T:$U,2,FALSE)="Decline",FALSE),
    IFERROR(VLOOKUP(T74,'Rating Factors'!$V:$W,2,FALSE)="Decline",FALSE),
    IFERROR(VLOOKUP(U74,'Rating Factors'!$X:$Y,2,FALSE)="Decline",FALSE),
    IFERROR(VLOOKUP(AI74,'Rating Factors'!$AB:$AC,2,FALSE)="Decline",FALSE),
    IFERROR(VLOOKUP(AK74,'Rating Factors'!$AK:$AL,2,FALSE)="Decline",FALSE),
    IFERROR(VLOOKUP(AL74,'Rating Factors'!$AP:$AQ,2,FALSE)="Decline",FALSE)
  ),
  "Declined",
  SUM(
    W74,
    X74,
    Y74*
      IFERROR(VLOOKUP(AD74,'Rating Factors'!$BS:$BT,2,FALSE),1),
    Z74*
      IFERROR(VLOOKUP(AD74,'Rating Factors'!$BS:$BT,2,FALSE),1)*
      IFERROR(VLOOKUP(AC74,'Rating Factors'!$BV:$BW,2,FALSE),1),
  )
  * IFERROR(VLOOKUP(F74,'Rating Factors'!$A:$B,2,FALSE),1)
  * IFERROR(VLOOKUP(G74,'Rating Factors'!$C:$D,2,FALSE),1)
  * IFERROR(VLOOKUP(J74,'Rating Factors'!$F:$G,2,FALSE),1)
  * IFERROR(VLOOKUP(K74,'Rating Factors'!$H:$I,2,FALSE),1)
  * IFERROR(VLOOKUP(L74,'Rating Factors'!$J:$K,2,FALSE),1)
  * IFERROR(VLOOKUP(M74,'Rating Factors'!$L:$M,2,FALSE),1)
  * IFERROR(VLOOKUP(N74,'Rating Factors'!$N:$O,2,FALSE),1)
  * IFERROR(VLOOKUP(O74,'Rating Factors'!$P:$Q,2,FALSE),1)
  * IFERROR(VLOOKUP(P74,'Rating Factors'!$BO:$BP,2,FALSE),1)
  * IFERROR(VLOOKUP(Q74,'Rating Factors'!$BQ:$BR,2,FALSE),1)
  * IFERROR(VLOOKUP(R74,'Rating Factors'!$R:$S,2,FALSE),1)
  * IFERROR(VLOOKUP(S74,'Rating Factors'!$T:$U,2,FALSE),1)
  * IFERROR(VLOOKUP(T74,'Rating Factors'!$V:$W,2,FALSE),1)
  * IFERROR(VLOOKUP(U74,'Rating Factors'!$X:$Y,2,FALSE),1)
  * IFERROR(VLOOKUP(AI74,'Rating Factors'!$AB:$AC,2,FALSE),1)
  * IFERROR(VLOOKUP(AK74,'Rating Factors'!$AK:$AL,2,FALSE),1)
  * IFERROR(VLOOKUP(AL74,'Rating Factors'!$AP:$AQ,2,FALSE),1)
  * IFERROR(LOOKUP(SUM($W$8:$Z$127),'Rating Factors'!$BD:$BD,'Rating Factors'!$BE:$BE),1))</f>
        <v>0</v>
      </c>
      <c r="AY74" s="158">
        <f>IF(OR(AQ74="Declined", AN74&lt;&gt;"Y"),
   0,
   N(AT74)*N('Rating Factors'!$AG$2)/100
)</f>
        <v>0</v>
      </c>
      <c r="AZ74" s="158">
        <f t="shared" si="22"/>
        <v>0</v>
      </c>
      <c r="BA74" s="142">
        <f>_xlfn.LET(
  _xlpm.base_ok, AND(AQ74&lt;&gt;"Declined", N(AQ74)&gt;0),
  _xlpm.is_full, EXACT(AG74, "Full Limit"),
  _xlpm.total_tiv, SUM($AT$8:$AT$127),
  _xlpm.loc_tiv, N(BE74),
  _xlpm.full_rate, N('Rating Factors'!$AO$10),
  _xlpm.min_per_loc, N('Rating Factors'!$AN$10),
  _xlpm.n_locs, N(E71),
  _xlpm.sched_prem, MAX(_xlpm.total_tiv*_xlpm.full_rate, _xlpm.min_per_loc*_xlpm.n_locs),
  _xlpm.alloc_prem, IF(_xlpm.total_tiv=0, 0, _xlpm.sched_prem * _xlpm.loc_tiv / _xlpm.total_tiv),
  _xlpm.cap_prem, IFERROR(VLOOKUP(AG74, 'Rating Factors'!$AM:$AN, 2, FALSE), 0),
  IF(_xlpm.base_ok,
     IF(_xlpm.is_full, _xlpm.alloc_prem, _xlpm.cap_prem),
     0
  )
)</f>
        <v>0</v>
      </c>
      <c r="BB74" s="143">
        <f t="shared" si="15"/>
        <v>0</v>
      </c>
      <c r="BC74" s="144">
        <f t="shared" si="23"/>
        <v>0</v>
      </c>
      <c r="BD74" s="145">
        <f t="shared" si="24"/>
        <v>0</v>
      </c>
      <c r="BE74" s="115">
        <f t="shared" si="16"/>
        <v>0</v>
      </c>
      <c r="BF74" s="106" t="str">
        <f t="shared" si="25"/>
        <v/>
      </c>
      <c r="BG74"/>
      <c r="BI74" s="67" t="str" cm="1">
        <f t="array" ref="BI74">IF(E74="","",LEFT(_xlfn.REGEXEXTRACT(UPPER(E74),"[A-Z][0-9][A-Z][ -]?[0-9][A-Z][0-9]"),3))</f>
        <v/>
      </c>
      <c r="BJ74" s="66" t="str">
        <f>IF(E74="","",_xlfn.XLOOKUP(BI74, CrestaP!B:B, CrestaP!D:D, ""))</f>
        <v/>
      </c>
      <c r="BK74" s="66" t="str">
        <f>IFERROR(
  INDEX(
    CrestaP!H4:M9,
    MATCH(J74, {"Frame","Brick Veneer","Joisted Masonry","Non-Combustible","Masonry Non-Combustible","Fire resistive"}, 0),
    MATCH(TEXT(BJ74,"@"), {"16","E5","E4","E3","E2","E1"}, 0)
  ),
  ""
)</f>
        <v/>
      </c>
    </row>
    <row r="75" spans="2:63" hidden="1" x14ac:dyDescent="0.25">
      <c r="B75"/>
      <c r="C75" s="24">
        <f t="shared" si="26"/>
        <v>68</v>
      </c>
      <c r="D75" s="25" t="s">
        <v>30</v>
      </c>
      <c r="E75" s="175"/>
      <c r="F75" s="89"/>
      <c r="G75" s="89"/>
      <c r="H75" s="104"/>
      <c r="I75" s="104"/>
      <c r="J75" s="89"/>
      <c r="K75" s="89"/>
      <c r="L75" s="89"/>
      <c r="M75" s="89"/>
      <c r="N75" s="89"/>
      <c r="O75" s="89"/>
      <c r="P75" s="104"/>
      <c r="Q75" s="104"/>
      <c r="R75" s="89"/>
      <c r="S75" s="89"/>
      <c r="T75" s="89"/>
      <c r="U75" s="25"/>
      <c r="V75" s="119"/>
      <c r="W75" s="19"/>
      <c r="X75" s="104"/>
      <c r="Y75" s="104"/>
      <c r="Z75" s="104"/>
      <c r="AA75" s="19"/>
      <c r="AB75" s="160" t="str">
        <f>IF(OR(AA75="",G75=""),"",VLOOKUP(G75,'Rating Factors'!$C:$E,3,FALSE)*AA75)</f>
        <v/>
      </c>
      <c r="AC75" s="20"/>
      <c r="AD75" s="20"/>
      <c r="AE75" s="104"/>
      <c r="AF75" s="96"/>
      <c r="AG75" s="20"/>
      <c r="AH75" s="119"/>
      <c r="AI75" s="19"/>
      <c r="AJ75" s="19"/>
      <c r="AK75" s="19"/>
      <c r="AL75" s="96"/>
      <c r="AM75" s="119"/>
      <c r="AN75" s="19"/>
      <c r="AO75" s="20"/>
      <c r="AP75" s="119"/>
      <c r="AQ75" s="115">
        <f t="shared" si="17"/>
        <v>0</v>
      </c>
      <c r="AR75" s="171">
        <f>IF(OR(Z75="",N(Z75)=0),
IF(
N(H75)+N(I75)=0,
0,
MAX(
IFERROR(VLOOKUP(AE75,'Rating Factors'!$BJ:$BK,2,FALSE),0),
((N(H75)*'Rating Factors'!$BF$2)+(N(I75)*'Rating Factors'!$BG$2))
*IFERROR(VLOOKUP(AE75,'Rating Factors'!$Z:$AA,2,FALSE),1)
*IFERROR(VLOOKUP(AJ75,'Rating Factors'!$AD:$AE,2,FALSE),1)
*IFERROR(VLOOKUP(SUM($H$8:$H$127),'Rating Factors'!$BM:$BN,2),1)
*IFERROR(VLOOKUP(SUM($I$8:$I$127),'Rating Factors'!$BH:$BI,2),1)
)
),
MAX(IFERROR(VLOOKUP(AE75,'Rating Factors'!$BJ:$BL,3,FALSE),0),
((N(I75)*'Rating Factors'!$BG$2))
*IFERROR(VLOOKUP(AE75,'Rating Factors'!$Z:$AA,2,FALSE),1)
*IFERROR(VLOOKUP(AJ75,'Rating Factors'!$AD:$AE,2,FALSE),1)
*N(AA75)* IFERROR(VLOOKUP(G75,'Rating Factors'!$C:$D,2,FALSE),1)*0.0045
))</f>
        <v>0</v>
      </c>
      <c r="AS75" s="172">
        <f t="shared" si="18"/>
        <v>0</v>
      </c>
      <c r="AT75" s="115">
        <f t="shared" si="19"/>
        <v>0</v>
      </c>
      <c r="AU75" s="173" t="str">
        <f t="shared" si="20"/>
        <v/>
      </c>
      <c r="AV75" s="174" t="str">
        <f t="shared" si="21"/>
        <v/>
      </c>
      <c r="AW75" s="119"/>
      <c r="AX75" s="141">
        <f>IF(
  OR(
    IFERROR(VLOOKUP(F75,'Rating Factors'!$A:$B,2,FALSE)="Decline",FALSE),
    IFERROR(VLOOKUP(G75,'Rating Factors'!$C:$D,2,FALSE)="Decline",FALSE),
    IFERROR(VLOOKUP(J75,'Rating Factors'!$F:$G,2,FALSE)="Decline",FALSE),
    IFERROR(VLOOKUP(K75,'Rating Factors'!$H:$I,2,FALSE)="Decline",FALSE),
    IFERROR(VLOOKUP(L75,'Rating Factors'!$J:$K,2,FALSE)="Decline",FALSE),
    IFERROR(VLOOKUP(M75,'Rating Factors'!$L:$M,2,FALSE)="Decline",FALSE),
    IFERROR(VLOOKUP(N75,'Rating Factors'!$N:$O,2,FALSE)="Decline",FALSE),
    IFERROR(VLOOKUP(O75,'Rating Factors'!$P:$Q,2,FALSE)="Decline",FALSE),
    IFERROR(VLOOKUP(P75,'Rating Factors'!$BO:$BP,2,FALSE)="Decline",FALSE),
    IFERROR(VLOOKUP(Q75,'Rating Factors'!$BQ:$BR,2,FALSE)="Decline",FALSE),
    IFERROR(VLOOKUP(R75,'Rating Factors'!$R:$S,2,FALSE)="Decline",FALSE),
    IFERROR(VLOOKUP(S75,'Rating Factors'!$T:$U,2,FALSE)="Decline",FALSE),
    IFERROR(VLOOKUP(T75,'Rating Factors'!$V:$W,2,FALSE)="Decline",FALSE),
    IFERROR(VLOOKUP(U75,'Rating Factors'!$X:$Y,2,FALSE)="Decline",FALSE),
    IFERROR(VLOOKUP(AI75,'Rating Factors'!$AB:$AC,2,FALSE)="Decline",FALSE),
    IFERROR(VLOOKUP(AK75,'Rating Factors'!$AK:$AL,2,FALSE)="Decline",FALSE),
    IFERROR(VLOOKUP(AL75,'Rating Factors'!$AP:$AQ,2,FALSE)="Decline",FALSE)
  ),
  "Declined",
  SUM(
    W75,
    X75,
    Y75*
      IFERROR(VLOOKUP(AD75,'Rating Factors'!$BS:$BT,2,FALSE),1),
    Z75*
      IFERROR(VLOOKUP(AD75,'Rating Factors'!$BS:$BT,2,FALSE),1)*
      IFERROR(VLOOKUP(AC75,'Rating Factors'!$BV:$BW,2,FALSE),1),
  )
  * IFERROR(VLOOKUP(F75,'Rating Factors'!$A:$B,2,FALSE),1)
  * IFERROR(VLOOKUP(G75,'Rating Factors'!$C:$D,2,FALSE),1)
  * IFERROR(VLOOKUP(J75,'Rating Factors'!$F:$G,2,FALSE),1)
  * IFERROR(VLOOKUP(K75,'Rating Factors'!$H:$I,2,FALSE),1)
  * IFERROR(VLOOKUP(L75,'Rating Factors'!$J:$K,2,FALSE),1)
  * IFERROR(VLOOKUP(M75,'Rating Factors'!$L:$M,2,FALSE),1)
  * IFERROR(VLOOKUP(N75,'Rating Factors'!$N:$O,2,FALSE),1)
  * IFERROR(VLOOKUP(O75,'Rating Factors'!$P:$Q,2,FALSE),1)
  * IFERROR(VLOOKUP(P75,'Rating Factors'!$BO:$BP,2,FALSE),1)
  * IFERROR(VLOOKUP(Q75,'Rating Factors'!$BQ:$BR,2,FALSE),1)
  * IFERROR(VLOOKUP(R75,'Rating Factors'!$R:$S,2,FALSE),1)
  * IFERROR(VLOOKUP(S75,'Rating Factors'!$T:$U,2,FALSE),1)
  * IFERROR(VLOOKUP(T75,'Rating Factors'!$V:$W,2,FALSE),1)
  * IFERROR(VLOOKUP(U75,'Rating Factors'!$X:$Y,2,FALSE),1)
  * IFERROR(VLOOKUP(AI75,'Rating Factors'!$AB:$AC,2,FALSE),1)
  * IFERROR(VLOOKUP(AK75,'Rating Factors'!$AK:$AL,2,FALSE),1)
  * IFERROR(VLOOKUP(AL75,'Rating Factors'!$AP:$AQ,2,FALSE),1)
  * IFERROR(LOOKUP(SUM($W$8:$Z$127),'Rating Factors'!$BD:$BD,'Rating Factors'!$BE:$BE),1))</f>
        <v>0</v>
      </c>
      <c r="AY75" s="158">
        <f>IF(OR(AQ75="Declined", AN75&lt;&gt;"Y"),
   0,
   N(AT75)*N('Rating Factors'!$AG$2)/100
)</f>
        <v>0</v>
      </c>
      <c r="AZ75" s="158">
        <f t="shared" si="22"/>
        <v>0</v>
      </c>
      <c r="BA75" s="142">
        <f>_xlfn.LET(
  _xlpm.base_ok, AND(AQ75&lt;&gt;"Declined", N(AQ75)&gt;0),
  _xlpm.is_full, EXACT(AG75, "Full Limit"),
  _xlpm.total_tiv, SUM($AT$8:$AT$127),
  _xlpm.loc_tiv, N(BE75),
  _xlpm.full_rate, N('Rating Factors'!$AO$10),
  _xlpm.min_per_loc, N('Rating Factors'!$AN$10),
  _xlpm.n_locs, N(E72),
  _xlpm.sched_prem, MAX(_xlpm.total_tiv*_xlpm.full_rate, _xlpm.min_per_loc*_xlpm.n_locs),
  _xlpm.alloc_prem, IF(_xlpm.total_tiv=0, 0, _xlpm.sched_prem * _xlpm.loc_tiv / _xlpm.total_tiv),
  _xlpm.cap_prem, IFERROR(VLOOKUP(AG75, 'Rating Factors'!$AM:$AN, 2, FALSE), 0),
  IF(_xlpm.base_ok,
     IF(_xlpm.is_full, _xlpm.alloc_prem, _xlpm.cap_prem),
     0
  )
)</f>
        <v>0</v>
      </c>
      <c r="BB75" s="143">
        <f t="shared" si="15"/>
        <v>0</v>
      </c>
      <c r="BC75" s="144">
        <f t="shared" si="23"/>
        <v>0</v>
      </c>
      <c r="BD75" s="145">
        <f t="shared" si="24"/>
        <v>0</v>
      </c>
      <c r="BE75" s="115">
        <f t="shared" si="16"/>
        <v>0</v>
      </c>
      <c r="BF75" s="106" t="str">
        <f t="shared" si="25"/>
        <v/>
      </c>
      <c r="BG75"/>
      <c r="BI75" s="67" t="str" cm="1">
        <f t="array" ref="BI75">IF(E75="","",LEFT(_xlfn.REGEXEXTRACT(UPPER(E75),"[A-Z][0-9][A-Z][ -]?[0-9][A-Z][0-9]"),3))</f>
        <v/>
      </c>
      <c r="BJ75" s="66" t="str">
        <f>IF(E75="","",_xlfn.XLOOKUP(BI75, CrestaP!B:B, CrestaP!D:D, ""))</f>
        <v/>
      </c>
      <c r="BK75" s="66" t="str">
        <f>IFERROR(
  INDEX(
    CrestaP!H4:M9,
    MATCH(J75, {"Frame","Brick Veneer","Joisted Masonry","Non-Combustible","Masonry Non-Combustible","Fire resistive"}, 0),
    MATCH(TEXT(BJ75,"@"), {"16","E5","E4","E3","E2","E1"}, 0)
  ),
  ""
)</f>
        <v/>
      </c>
    </row>
    <row r="76" spans="2:63" hidden="1" x14ac:dyDescent="0.25">
      <c r="B76"/>
      <c r="C76" s="24">
        <f t="shared" si="26"/>
        <v>69</v>
      </c>
      <c r="D76" s="25" t="s">
        <v>30</v>
      </c>
      <c r="E76" s="175"/>
      <c r="F76" s="89"/>
      <c r="G76" s="89"/>
      <c r="H76" s="104"/>
      <c r="I76" s="104"/>
      <c r="J76" s="89"/>
      <c r="K76" s="89"/>
      <c r="L76" s="89"/>
      <c r="M76" s="89"/>
      <c r="N76" s="89"/>
      <c r="O76" s="89"/>
      <c r="P76" s="104"/>
      <c r="Q76" s="104"/>
      <c r="R76" s="89"/>
      <c r="S76" s="89"/>
      <c r="T76" s="89"/>
      <c r="U76" s="25"/>
      <c r="V76" s="119"/>
      <c r="W76" s="19"/>
      <c r="X76" s="104"/>
      <c r="Y76" s="104"/>
      <c r="Z76" s="104"/>
      <c r="AA76" s="19"/>
      <c r="AB76" s="160" t="str">
        <f>IF(OR(AA76="",G76=""),"",VLOOKUP(G76,'Rating Factors'!$C:$E,3,FALSE)*AA76)</f>
        <v/>
      </c>
      <c r="AC76" s="20"/>
      <c r="AD76" s="20"/>
      <c r="AE76" s="104"/>
      <c r="AF76" s="96"/>
      <c r="AG76" s="20"/>
      <c r="AH76" s="119"/>
      <c r="AI76" s="19"/>
      <c r="AJ76" s="19"/>
      <c r="AK76" s="19"/>
      <c r="AL76" s="96"/>
      <c r="AM76" s="119"/>
      <c r="AN76" s="19"/>
      <c r="AO76" s="20"/>
      <c r="AP76" s="119"/>
      <c r="AQ76" s="115">
        <f t="shared" si="17"/>
        <v>0</v>
      </c>
      <c r="AR76" s="171">
        <f>IF(OR(Z76="",N(Z76)=0),
IF(
N(H76)+N(I76)=0,
0,
MAX(
IFERROR(VLOOKUP(AE76,'Rating Factors'!$BJ:$BK,2,FALSE),0),
((N(H76)*'Rating Factors'!$BF$2)+(N(I76)*'Rating Factors'!$BG$2))
*IFERROR(VLOOKUP(AE76,'Rating Factors'!$Z:$AA,2,FALSE),1)
*IFERROR(VLOOKUP(AJ76,'Rating Factors'!$AD:$AE,2,FALSE),1)
*IFERROR(VLOOKUP(SUM($H$8:$H$127),'Rating Factors'!$BM:$BN,2),1)
*IFERROR(VLOOKUP(SUM($I$8:$I$127),'Rating Factors'!$BH:$BI,2),1)
)
),
MAX(IFERROR(VLOOKUP(AE76,'Rating Factors'!$BJ:$BL,3,FALSE),0),
((N(I76)*'Rating Factors'!$BG$2))
*IFERROR(VLOOKUP(AE76,'Rating Factors'!$Z:$AA,2,FALSE),1)
*IFERROR(VLOOKUP(AJ76,'Rating Factors'!$AD:$AE,2,FALSE),1)
*N(AA76)* IFERROR(VLOOKUP(G76,'Rating Factors'!$C:$D,2,FALSE),1)*0.0045
))</f>
        <v>0</v>
      </c>
      <c r="AS76" s="172">
        <f t="shared" si="18"/>
        <v>0</v>
      </c>
      <c r="AT76" s="115">
        <f t="shared" si="19"/>
        <v>0</v>
      </c>
      <c r="AU76" s="173" t="str">
        <f t="shared" si="20"/>
        <v/>
      </c>
      <c r="AV76" s="174" t="str">
        <f t="shared" si="21"/>
        <v/>
      </c>
      <c r="AW76" s="119"/>
      <c r="AX76" s="141">
        <f>IF(
  OR(
    IFERROR(VLOOKUP(F76,'Rating Factors'!$A:$B,2,FALSE)="Decline",FALSE),
    IFERROR(VLOOKUP(G76,'Rating Factors'!$C:$D,2,FALSE)="Decline",FALSE),
    IFERROR(VLOOKUP(J76,'Rating Factors'!$F:$G,2,FALSE)="Decline",FALSE),
    IFERROR(VLOOKUP(K76,'Rating Factors'!$H:$I,2,FALSE)="Decline",FALSE),
    IFERROR(VLOOKUP(L76,'Rating Factors'!$J:$K,2,FALSE)="Decline",FALSE),
    IFERROR(VLOOKUP(M76,'Rating Factors'!$L:$M,2,FALSE)="Decline",FALSE),
    IFERROR(VLOOKUP(N76,'Rating Factors'!$N:$O,2,FALSE)="Decline",FALSE),
    IFERROR(VLOOKUP(O76,'Rating Factors'!$P:$Q,2,FALSE)="Decline",FALSE),
    IFERROR(VLOOKUP(P76,'Rating Factors'!$BO:$BP,2,FALSE)="Decline",FALSE),
    IFERROR(VLOOKUP(Q76,'Rating Factors'!$BQ:$BR,2,FALSE)="Decline",FALSE),
    IFERROR(VLOOKUP(R76,'Rating Factors'!$R:$S,2,FALSE)="Decline",FALSE),
    IFERROR(VLOOKUP(S76,'Rating Factors'!$T:$U,2,FALSE)="Decline",FALSE),
    IFERROR(VLOOKUP(T76,'Rating Factors'!$V:$W,2,FALSE)="Decline",FALSE),
    IFERROR(VLOOKUP(U76,'Rating Factors'!$X:$Y,2,FALSE)="Decline",FALSE),
    IFERROR(VLOOKUP(AI76,'Rating Factors'!$AB:$AC,2,FALSE)="Decline",FALSE),
    IFERROR(VLOOKUP(AK76,'Rating Factors'!$AK:$AL,2,FALSE)="Decline",FALSE),
    IFERROR(VLOOKUP(AL76,'Rating Factors'!$AP:$AQ,2,FALSE)="Decline",FALSE)
  ),
  "Declined",
  SUM(
    W76,
    X76,
    Y76*
      IFERROR(VLOOKUP(AD76,'Rating Factors'!$BS:$BT,2,FALSE),1),
    Z76*
      IFERROR(VLOOKUP(AD76,'Rating Factors'!$BS:$BT,2,FALSE),1)*
      IFERROR(VLOOKUP(AC76,'Rating Factors'!$BV:$BW,2,FALSE),1),
  )
  * IFERROR(VLOOKUP(F76,'Rating Factors'!$A:$B,2,FALSE),1)
  * IFERROR(VLOOKUP(G76,'Rating Factors'!$C:$D,2,FALSE),1)
  * IFERROR(VLOOKUP(J76,'Rating Factors'!$F:$G,2,FALSE),1)
  * IFERROR(VLOOKUP(K76,'Rating Factors'!$H:$I,2,FALSE),1)
  * IFERROR(VLOOKUP(L76,'Rating Factors'!$J:$K,2,FALSE),1)
  * IFERROR(VLOOKUP(M76,'Rating Factors'!$L:$M,2,FALSE),1)
  * IFERROR(VLOOKUP(N76,'Rating Factors'!$N:$O,2,FALSE),1)
  * IFERROR(VLOOKUP(O76,'Rating Factors'!$P:$Q,2,FALSE),1)
  * IFERROR(VLOOKUP(P76,'Rating Factors'!$BO:$BP,2,FALSE),1)
  * IFERROR(VLOOKUP(Q76,'Rating Factors'!$BQ:$BR,2,FALSE),1)
  * IFERROR(VLOOKUP(R76,'Rating Factors'!$R:$S,2,FALSE),1)
  * IFERROR(VLOOKUP(S76,'Rating Factors'!$T:$U,2,FALSE),1)
  * IFERROR(VLOOKUP(T76,'Rating Factors'!$V:$W,2,FALSE),1)
  * IFERROR(VLOOKUP(U76,'Rating Factors'!$X:$Y,2,FALSE),1)
  * IFERROR(VLOOKUP(AI76,'Rating Factors'!$AB:$AC,2,FALSE),1)
  * IFERROR(VLOOKUP(AK76,'Rating Factors'!$AK:$AL,2,FALSE),1)
  * IFERROR(VLOOKUP(AL76,'Rating Factors'!$AP:$AQ,2,FALSE),1)
  * IFERROR(LOOKUP(SUM($W$8:$Z$127),'Rating Factors'!$BD:$BD,'Rating Factors'!$BE:$BE),1))</f>
        <v>0</v>
      </c>
      <c r="AY76" s="158">
        <f>IF(OR(AQ76="Declined", AN76&lt;&gt;"Y"),
   0,
   N(AT76)*N('Rating Factors'!$AG$2)/100
)</f>
        <v>0</v>
      </c>
      <c r="AZ76" s="158">
        <f t="shared" si="22"/>
        <v>0</v>
      </c>
      <c r="BA76" s="142">
        <f>_xlfn.LET(
  _xlpm.base_ok, AND(AQ76&lt;&gt;"Declined", N(AQ76)&gt;0),
  _xlpm.is_full, EXACT(AG76, "Full Limit"),
  _xlpm.total_tiv, SUM($AT$8:$AT$127),
  _xlpm.loc_tiv, N(BE76),
  _xlpm.full_rate, N('Rating Factors'!$AO$10),
  _xlpm.min_per_loc, N('Rating Factors'!$AN$10),
  _xlpm.n_locs, N(E73),
  _xlpm.sched_prem, MAX(_xlpm.total_tiv*_xlpm.full_rate, _xlpm.min_per_loc*_xlpm.n_locs),
  _xlpm.alloc_prem, IF(_xlpm.total_tiv=0, 0, _xlpm.sched_prem * _xlpm.loc_tiv / _xlpm.total_tiv),
  _xlpm.cap_prem, IFERROR(VLOOKUP(AG76, 'Rating Factors'!$AM:$AN, 2, FALSE), 0),
  IF(_xlpm.base_ok,
     IF(_xlpm.is_full, _xlpm.alloc_prem, _xlpm.cap_prem),
     0
  )
)</f>
        <v>0</v>
      </c>
      <c r="BB76" s="143">
        <f t="shared" si="15"/>
        <v>0</v>
      </c>
      <c r="BC76" s="144">
        <f t="shared" si="23"/>
        <v>0</v>
      </c>
      <c r="BD76" s="145">
        <f t="shared" si="24"/>
        <v>0</v>
      </c>
      <c r="BE76" s="115">
        <f t="shared" si="16"/>
        <v>0</v>
      </c>
      <c r="BF76" s="106" t="str">
        <f t="shared" si="25"/>
        <v/>
      </c>
      <c r="BG76"/>
      <c r="BI76" s="67" t="str" cm="1">
        <f t="array" ref="BI76">IF(E76="","",LEFT(_xlfn.REGEXEXTRACT(UPPER(E76),"[A-Z][0-9][A-Z][ -]?[0-9][A-Z][0-9]"),3))</f>
        <v/>
      </c>
      <c r="BJ76" s="66" t="str">
        <f>IF(E76="","",_xlfn.XLOOKUP(BI76, CrestaP!B:B, CrestaP!D:D, ""))</f>
        <v/>
      </c>
      <c r="BK76" s="66" t="str">
        <f>IFERROR(
  INDEX(
    CrestaP!H4:M9,
    MATCH(J76, {"Frame","Brick Veneer","Joisted Masonry","Non-Combustible","Masonry Non-Combustible","Fire resistive"}, 0),
    MATCH(TEXT(BJ76,"@"), {"16","E5","E4","E3","E2","E1"}, 0)
  ),
  ""
)</f>
        <v/>
      </c>
    </row>
    <row r="77" spans="2:63" hidden="1" x14ac:dyDescent="0.25">
      <c r="B77"/>
      <c r="C77" s="24">
        <f t="shared" si="26"/>
        <v>70</v>
      </c>
      <c r="D77" s="25" t="s">
        <v>30</v>
      </c>
      <c r="E77" s="175"/>
      <c r="F77" s="89"/>
      <c r="G77" s="89"/>
      <c r="H77" s="104"/>
      <c r="I77" s="104"/>
      <c r="J77" s="89"/>
      <c r="K77" s="89"/>
      <c r="L77" s="89"/>
      <c r="M77" s="89"/>
      <c r="N77" s="89"/>
      <c r="O77" s="89"/>
      <c r="P77" s="104"/>
      <c r="Q77" s="104"/>
      <c r="R77" s="89"/>
      <c r="S77" s="89"/>
      <c r="T77" s="89"/>
      <c r="U77" s="25"/>
      <c r="V77" s="119"/>
      <c r="W77" s="19"/>
      <c r="X77" s="104"/>
      <c r="Y77" s="104"/>
      <c r="Z77" s="104"/>
      <c r="AA77" s="19"/>
      <c r="AB77" s="160" t="str">
        <f>IF(OR(AA77="",G77=""),"",VLOOKUP(G77,'Rating Factors'!$C:$E,3,FALSE)*AA77)</f>
        <v/>
      </c>
      <c r="AC77" s="20"/>
      <c r="AD77" s="20"/>
      <c r="AE77" s="104"/>
      <c r="AF77" s="96"/>
      <c r="AG77" s="20"/>
      <c r="AH77" s="119"/>
      <c r="AI77" s="19"/>
      <c r="AJ77" s="19"/>
      <c r="AK77" s="19"/>
      <c r="AL77" s="96"/>
      <c r="AM77" s="119"/>
      <c r="AN77" s="19"/>
      <c r="AO77" s="20"/>
      <c r="AP77" s="119"/>
      <c r="AQ77" s="115">
        <f t="shared" si="17"/>
        <v>0</v>
      </c>
      <c r="AR77" s="171">
        <f>IF(OR(Z77="",N(Z77)=0),
IF(
N(H77)+N(I77)=0,
0,
MAX(
IFERROR(VLOOKUP(AE77,'Rating Factors'!$BJ:$BK,2,FALSE),0),
((N(H77)*'Rating Factors'!$BF$2)+(N(I77)*'Rating Factors'!$BG$2))
*IFERROR(VLOOKUP(AE77,'Rating Factors'!$Z:$AA,2,FALSE),1)
*IFERROR(VLOOKUP(AJ77,'Rating Factors'!$AD:$AE,2,FALSE),1)
*IFERROR(VLOOKUP(SUM($H$8:$H$127),'Rating Factors'!$BM:$BN,2),1)
*IFERROR(VLOOKUP(SUM($I$8:$I$127),'Rating Factors'!$BH:$BI,2),1)
)
),
MAX(IFERROR(VLOOKUP(AE77,'Rating Factors'!$BJ:$BL,3,FALSE),0),
((N(I77)*'Rating Factors'!$BG$2))
*IFERROR(VLOOKUP(AE77,'Rating Factors'!$Z:$AA,2,FALSE),1)
*IFERROR(VLOOKUP(AJ77,'Rating Factors'!$AD:$AE,2,FALSE),1)
*N(AA77)* IFERROR(VLOOKUP(G77,'Rating Factors'!$C:$D,2,FALSE),1)*0.0045
))</f>
        <v>0</v>
      </c>
      <c r="AS77" s="172">
        <f t="shared" si="18"/>
        <v>0</v>
      </c>
      <c r="AT77" s="115">
        <f t="shared" si="19"/>
        <v>0</v>
      </c>
      <c r="AU77" s="173" t="str">
        <f t="shared" si="20"/>
        <v/>
      </c>
      <c r="AV77" s="174" t="str">
        <f t="shared" si="21"/>
        <v/>
      </c>
      <c r="AW77" s="119"/>
      <c r="AX77" s="141">
        <f>IF(
  OR(
    IFERROR(VLOOKUP(F77,'Rating Factors'!$A:$B,2,FALSE)="Decline",FALSE),
    IFERROR(VLOOKUP(G77,'Rating Factors'!$C:$D,2,FALSE)="Decline",FALSE),
    IFERROR(VLOOKUP(J77,'Rating Factors'!$F:$G,2,FALSE)="Decline",FALSE),
    IFERROR(VLOOKUP(K77,'Rating Factors'!$H:$I,2,FALSE)="Decline",FALSE),
    IFERROR(VLOOKUP(L77,'Rating Factors'!$J:$K,2,FALSE)="Decline",FALSE),
    IFERROR(VLOOKUP(M77,'Rating Factors'!$L:$M,2,FALSE)="Decline",FALSE),
    IFERROR(VLOOKUP(N77,'Rating Factors'!$N:$O,2,FALSE)="Decline",FALSE),
    IFERROR(VLOOKUP(O77,'Rating Factors'!$P:$Q,2,FALSE)="Decline",FALSE),
    IFERROR(VLOOKUP(P77,'Rating Factors'!$BO:$BP,2,FALSE)="Decline",FALSE),
    IFERROR(VLOOKUP(Q77,'Rating Factors'!$BQ:$BR,2,FALSE)="Decline",FALSE),
    IFERROR(VLOOKUP(R77,'Rating Factors'!$R:$S,2,FALSE)="Decline",FALSE),
    IFERROR(VLOOKUP(S77,'Rating Factors'!$T:$U,2,FALSE)="Decline",FALSE),
    IFERROR(VLOOKUP(T77,'Rating Factors'!$V:$W,2,FALSE)="Decline",FALSE),
    IFERROR(VLOOKUP(U77,'Rating Factors'!$X:$Y,2,FALSE)="Decline",FALSE),
    IFERROR(VLOOKUP(AI77,'Rating Factors'!$AB:$AC,2,FALSE)="Decline",FALSE),
    IFERROR(VLOOKUP(AK77,'Rating Factors'!$AK:$AL,2,FALSE)="Decline",FALSE),
    IFERROR(VLOOKUP(AL77,'Rating Factors'!$AP:$AQ,2,FALSE)="Decline",FALSE)
  ),
  "Declined",
  SUM(
    W77,
    X77,
    Y77*
      IFERROR(VLOOKUP(AD77,'Rating Factors'!$BS:$BT,2,FALSE),1),
    Z77*
      IFERROR(VLOOKUP(AD77,'Rating Factors'!$BS:$BT,2,FALSE),1)*
      IFERROR(VLOOKUP(AC77,'Rating Factors'!$BV:$BW,2,FALSE),1),
  )
  * IFERROR(VLOOKUP(F77,'Rating Factors'!$A:$B,2,FALSE),1)
  * IFERROR(VLOOKUP(G77,'Rating Factors'!$C:$D,2,FALSE),1)
  * IFERROR(VLOOKUP(J77,'Rating Factors'!$F:$G,2,FALSE),1)
  * IFERROR(VLOOKUP(K77,'Rating Factors'!$H:$I,2,FALSE),1)
  * IFERROR(VLOOKUP(L77,'Rating Factors'!$J:$K,2,FALSE),1)
  * IFERROR(VLOOKUP(M77,'Rating Factors'!$L:$M,2,FALSE),1)
  * IFERROR(VLOOKUP(N77,'Rating Factors'!$N:$O,2,FALSE),1)
  * IFERROR(VLOOKUP(O77,'Rating Factors'!$P:$Q,2,FALSE),1)
  * IFERROR(VLOOKUP(P77,'Rating Factors'!$BO:$BP,2,FALSE),1)
  * IFERROR(VLOOKUP(Q77,'Rating Factors'!$BQ:$BR,2,FALSE),1)
  * IFERROR(VLOOKUP(R77,'Rating Factors'!$R:$S,2,FALSE),1)
  * IFERROR(VLOOKUP(S77,'Rating Factors'!$T:$U,2,FALSE),1)
  * IFERROR(VLOOKUP(T77,'Rating Factors'!$V:$W,2,FALSE),1)
  * IFERROR(VLOOKUP(U77,'Rating Factors'!$X:$Y,2,FALSE),1)
  * IFERROR(VLOOKUP(AI77,'Rating Factors'!$AB:$AC,2,FALSE),1)
  * IFERROR(VLOOKUP(AK77,'Rating Factors'!$AK:$AL,2,FALSE),1)
  * IFERROR(VLOOKUP(AL77,'Rating Factors'!$AP:$AQ,2,FALSE),1)
  * IFERROR(LOOKUP(SUM($W$8:$Z$127),'Rating Factors'!$BD:$BD,'Rating Factors'!$BE:$BE),1))</f>
        <v>0</v>
      </c>
      <c r="AY77" s="158">
        <f>IF(OR(AQ77="Declined", AN77&lt;&gt;"Y"),
   0,
   N(AT77)*N('Rating Factors'!$AG$2)/100
)</f>
        <v>0</v>
      </c>
      <c r="AZ77" s="158">
        <f t="shared" si="22"/>
        <v>0</v>
      </c>
      <c r="BA77" s="142">
        <f>_xlfn.LET(
  _xlpm.base_ok, AND(AQ77&lt;&gt;"Declined", N(AQ77)&gt;0),
  _xlpm.is_full, EXACT(AG77, "Full Limit"),
  _xlpm.total_tiv, SUM($AT$8:$AT$127),
  _xlpm.loc_tiv, N(BE77),
  _xlpm.full_rate, N('Rating Factors'!$AO$10),
  _xlpm.min_per_loc, N('Rating Factors'!$AN$10),
  _xlpm.n_locs, N(E74),
  _xlpm.sched_prem, MAX(_xlpm.total_tiv*_xlpm.full_rate, _xlpm.min_per_loc*_xlpm.n_locs),
  _xlpm.alloc_prem, IF(_xlpm.total_tiv=0, 0, _xlpm.sched_prem * _xlpm.loc_tiv / _xlpm.total_tiv),
  _xlpm.cap_prem, IFERROR(VLOOKUP(AG77, 'Rating Factors'!$AM:$AN, 2, FALSE), 0),
  IF(_xlpm.base_ok,
     IF(_xlpm.is_full, _xlpm.alloc_prem, _xlpm.cap_prem),
     0
  )
)</f>
        <v>0</v>
      </c>
      <c r="BB77" s="143">
        <f t="shared" si="15"/>
        <v>0</v>
      </c>
      <c r="BC77" s="144">
        <f t="shared" si="23"/>
        <v>0</v>
      </c>
      <c r="BD77" s="145">
        <f t="shared" si="24"/>
        <v>0</v>
      </c>
      <c r="BE77" s="115">
        <f t="shared" si="16"/>
        <v>0</v>
      </c>
      <c r="BF77" s="106" t="str">
        <f t="shared" si="25"/>
        <v/>
      </c>
      <c r="BG77"/>
      <c r="BI77" s="67" t="str" cm="1">
        <f t="array" ref="BI77">IF(E77="","",LEFT(_xlfn.REGEXEXTRACT(UPPER(E77),"[A-Z][0-9][A-Z][ -]?[0-9][A-Z][0-9]"),3))</f>
        <v/>
      </c>
      <c r="BJ77" s="66" t="str">
        <f>IF(E77="","",_xlfn.XLOOKUP(BI77, CrestaP!B:B, CrestaP!D:D, ""))</f>
        <v/>
      </c>
      <c r="BK77" s="66" t="str">
        <f>IFERROR(
  INDEX(
    CrestaP!H4:M9,
    MATCH(J77, {"Frame","Brick Veneer","Joisted Masonry","Non-Combustible","Masonry Non-Combustible","Fire resistive"}, 0),
    MATCH(TEXT(BJ77,"@"), {"16","E5","E4","E3","E2","E1"}, 0)
  ),
  ""
)</f>
        <v/>
      </c>
    </row>
    <row r="78" spans="2:63" hidden="1" x14ac:dyDescent="0.25">
      <c r="B78"/>
      <c r="C78" s="24">
        <f t="shared" si="26"/>
        <v>71</v>
      </c>
      <c r="D78" s="25" t="s">
        <v>30</v>
      </c>
      <c r="E78" s="175"/>
      <c r="F78" s="89"/>
      <c r="G78" s="89"/>
      <c r="H78" s="104"/>
      <c r="I78" s="104"/>
      <c r="J78" s="89"/>
      <c r="K78" s="89"/>
      <c r="L78" s="89"/>
      <c r="M78" s="89"/>
      <c r="N78" s="89"/>
      <c r="O78" s="89"/>
      <c r="P78" s="104"/>
      <c r="Q78" s="104"/>
      <c r="R78" s="89"/>
      <c r="S78" s="89"/>
      <c r="T78" s="89"/>
      <c r="U78" s="25"/>
      <c r="V78" s="119"/>
      <c r="W78" s="19"/>
      <c r="X78" s="104"/>
      <c r="Y78" s="104"/>
      <c r="Z78" s="104"/>
      <c r="AA78" s="19"/>
      <c r="AB78" s="160" t="str">
        <f>IF(OR(AA78="",G78=""),"",VLOOKUP(G78,'Rating Factors'!$C:$E,3,FALSE)*AA78)</f>
        <v/>
      </c>
      <c r="AC78" s="20"/>
      <c r="AD78" s="20"/>
      <c r="AE78" s="104"/>
      <c r="AF78" s="96"/>
      <c r="AG78" s="20"/>
      <c r="AH78" s="119"/>
      <c r="AI78" s="19"/>
      <c r="AJ78" s="19"/>
      <c r="AK78" s="19"/>
      <c r="AL78" s="96"/>
      <c r="AM78" s="119"/>
      <c r="AN78" s="19"/>
      <c r="AO78" s="20"/>
      <c r="AP78" s="119"/>
      <c r="AQ78" s="115">
        <f t="shared" si="17"/>
        <v>0</v>
      </c>
      <c r="AR78" s="171">
        <f>IF(OR(Z78="",N(Z78)=0),
IF(
N(H78)+N(I78)=0,
0,
MAX(
IFERROR(VLOOKUP(AE78,'Rating Factors'!$BJ:$BK,2,FALSE),0),
((N(H78)*'Rating Factors'!$BF$2)+(N(I78)*'Rating Factors'!$BG$2))
*IFERROR(VLOOKUP(AE78,'Rating Factors'!$Z:$AA,2,FALSE),1)
*IFERROR(VLOOKUP(AJ78,'Rating Factors'!$AD:$AE,2,FALSE),1)
*IFERROR(VLOOKUP(SUM($H$8:$H$127),'Rating Factors'!$BM:$BN,2),1)
*IFERROR(VLOOKUP(SUM($I$8:$I$127),'Rating Factors'!$BH:$BI,2),1)
)
),
MAX(IFERROR(VLOOKUP(AE78,'Rating Factors'!$BJ:$BL,3,FALSE),0),
((N(I78)*'Rating Factors'!$BG$2))
*IFERROR(VLOOKUP(AE78,'Rating Factors'!$Z:$AA,2,FALSE),1)
*IFERROR(VLOOKUP(AJ78,'Rating Factors'!$AD:$AE,2,FALSE),1)
*N(AA78)* IFERROR(VLOOKUP(G78,'Rating Factors'!$C:$D,2,FALSE),1)*0.0045
))</f>
        <v>0</v>
      </c>
      <c r="AS78" s="172">
        <f t="shared" si="18"/>
        <v>0</v>
      </c>
      <c r="AT78" s="115">
        <f t="shared" si="19"/>
        <v>0</v>
      </c>
      <c r="AU78" s="173" t="str">
        <f t="shared" si="20"/>
        <v/>
      </c>
      <c r="AV78" s="174" t="str">
        <f t="shared" si="21"/>
        <v/>
      </c>
      <c r="AW78" s="119"/>
      <c r="AX78" s="141">
        <f>IF(
  OR(
    IFERROR(VLOOKUP(F78,'Rating Factors'!$A:$B,2,FALSE)="Decline",FALSE),
    IFERROR(VLOOKUP(G78,'Rating Factors'!$C:$D,2,FALSE)="Decline",FALSE),
    IFERROR(VLOOKUP(J78,'Rating Factors'!$F:$G,2,FALSE)="Decline",FALSE),
    IFERROR(VLOOKUP(K78,'Rating Factors'!$H:$I,2,FALSE)="Decline",FALSE),
    IFERROR(VLOOKUP(L78,'Rating Factors'!$J:$K,2,FALSE)="Decline",FALSE),
    IFERROR(VLOOKUP(M78,'Rating Factors'!$L:$M,2,FALSE)="Decline",FALSE),
    IFERROR(VLOOKUP(N78,'Rating Factors'!$N:$O,2,FALSE)="Decline",FALSE),
    IFERROR(VLOOKUP(O78,'Rating Factors'!$P:$Q,2,FALSE)="Decline",FALSE),
    IFERROR(VLOOKUP(P78,'Rating Factors'!$BO:$BP,2,FALSE)="Decline",FALSE),
    IFERROR(VLOOKUP(Q78,'Rating Factors'!$BQ:$BR,2,FALSE)="Decline",FALSE),
    IFERROR(VLOOKUP(R78,'Rating Factors'!$R:$S,2,FALSE)="Decline",FALSE),
    IFERROR(VLOOKUP(S78,'Rating Factors'!$T:$U,2,FALSE)="Decline",FALSE),
    IFERROR(VLOOKUP(T78,'Rating Factors'!$V:$W,2,FALSE)="Decline",FALSE),
    IFERROR(VLOOKUP(U78,'Rating Factors'!$X:$Y,2,FALSE)="Decline",FALSE),
    IFERROR(VLOOKUP(AI78,'Rating Factors'!$AB:$AC,2,FALSE)="Decline",FALSE),
    IFERROR(VLOOKUP(AK78,'Rating Factors'!$AK:$AL,2,FALSE)="Decline",FALSE),
    IFERROR(VLOOKUP(AL78,'Rating Factors'!$AP:$AQ,2,FALSE)="Decline",FALSE)
  ),
  "Declined",
  SUM(
    W78,
    X78,
    Y78*
      IFERROR(VLOOKUP(AD78,'Rating Factors'!$BS:$BT,2,FALSE),1),
    Z78*
      IFERROR(VLOOKUP(AD78,'Rating Factors'!$BS:$BT,2,FALSE),1)*
      IFERROR(VLOOKUP(AC78,'Rating Factors'!$BV:$BW,2,FALSE),1),
  )
  * IFERROR(VLOOKUP(F78,'Rating Factors'!$A:$B,2,FALSE),1)
  * IFERROR(VLOOKUP(G78,'Rating Factors'!$C:$D,2,FALSE),1)
  * IFERROR(VLOOKUP(J78,'Rating Factors'!$F:$G,2,FALSE),1)
  * IFERROR(VLOOKUP(K78,'Rating Factors'!$H:$I,2,FALSE),1)
  * IFERROR(VLOOKUP(L78,'Rating Factors'!$J:$K,2,FALSE),1)
  * IFERROR(VLOOKUP(M78,'Rating Factors'!$L:$M,2,FALSE),1)
  * IFERROR(VLOOKUP(N78,'Rating Factors'!$N:$O,2,FALSE),1)
  * IFERROR(VLOOKUP(O78,'Rating Factors'!$P:$Q,2,FALSE),1)
  * IFERROR(VLOOKUP(P78,'Rating Factors'!$BO:$BP,2,FALSE),1)
  * IFERROR(VLOOKUP(Q78,'Rating Factors'!$BQ:$BR,2,FALSE),1)
  * IFERROR(VLOOKUP(R78,'Rating Factors'!$R:$S,2,FALSE),1)
  * IFERROR(VLOOKUP(S78,'Rating Factors'!$T:$U,2,FALSE),1)
  * IFERROR(VLOOKUP(T78,'Rating Factors'!$V:$W,2,FALSE),1)
  * IFERROR(VLOOKUP(U78,'Rating Factors'!$X:$Y,2,FALSE),1)
  * IFERROR(VLOOKUP(AI78,'Rating Factors'!$AB:$AC,2,FALSE),1)
  * IFERROR(VLOOKUP(AK78,'Rating Factors'!$AK:$AL,2,FALSE),1)
  * IFERROR(VLOOKUP(AL78,'Rating Factors'!$AP:$AQ,2,FALSE),1)
  * IFERROR(LOOKUP(SUM($W$8:$Z$127),'Rating Factors'!$BD:$BD,'Rating Factors'!$BE:$BE),1))</f>
        <v>0</v>
      </c>
      <c r="AY78" s="158">
        <f>IF(OR(AQ78="Declined", AN78&lt;&gt;"Y"),
   0,
   N(AT78)*N('Rating Factors'!$AG$2)/100
)</f>
        <v>0</v>
      </c>
      <c r="AZ78" s="158">
        <f t="shared" si="22"/>
        <v>0</v>
      </c>
      <c r="BA78" s="142">
        <f>_xlfn.LET(
  _xlpm.base_ok, AND(AQ78&lt;&gt;"Declined", N(AQ78)&gt;0),
  _xlpm.is_full, EXACT(AG78, "Full Limit"),
  _xlpm.total_tiv, SUM($AT$8:$AT$127),
  _xlpm.loc_tiv, N(BE78),
  _xlpm.full_rate, N('Rating Factors'!$AO$10),
  _xlpm.min_per_loc, N('Rating Factors'!$AN$10),
  _xlpm.n_locs, N(E75),
  _xlpm.sched_prem, MAX(_xlpm.total_tiv*_xlpm.full_rate, _xlpm.min_per_loc*_xlpm.n_locs),
  _xlpm.alloc_prem, IF(_xlpm.total_tiv=0, 0, _xlpm.sched_prem * _xlpm.loc_tiv / _xlpm.total_tiv),
  _xlpm.cap_prem, IFERROR(VLOOKUP(AG78, 'Rating Factors'!$AM:$AN, 2, FALSE), 0),
  IF(_xlpm.base_ok,
     IF(_xlpm.is_full, _xlpm.alloc_prem, _xlpm.cap_prem),
     0
  )
)</f>
        <v>0</v>
      </c>
      <c r="BB78" s="143">
        <f t="shared" si="15"/>
        <v>0</v>
      </c>
      <c r="BC78" s="144">
        <f t="shared" si="23"/>
        <v>0</v>
      </c>
      <c r="BD78" s="145">
        <f t="shared" si="24"/>
        <v>0</v>
      </c>
      <c r="BE78" s="115">
        <f t="shared" si="16"/>
        <v>0</v>
      </c>
      <c r="BF78" s="106" t="str">
        <f t="shared" si="25"/>
        <v/>
      </c>
      <c r="BG78"/>
      <c r="BI78" s="67" t="str" cm="1">
        <f t="array" ref="BI78">IF(E78="","",LEFT(_xlfn.REGEXEXTRACT(UPPER(E78),"[A-Z][0-9][A-Z][ -]?[0-9][A-Z][0-9]"),3))</f>
        <v/>
      </c>
      <c r="BJ78" s="66" t="str">
        <f>IF(E78="","",_xlfn.XLOOKUP(BI78, CrestaP!B:B, CrestaP!D:D, ""))</f>
        <v/>
      </c>
      <c r="BK78" s="66" t="str">
        <f>IFERROR(
  INDEX(
    CrestaP!H4:M9,
    MATCH(J78, {"Frame","Brick Veneer","Joisted Masonry","Non-Combustible","Masonry Non-Combustible","Fire resistive"}, 0),
    MATCH(TEXT(BJ78,"@"), {"16","E5","E4","E3","E2","E1"}, 0)
  ),
  ""
)</f>
        <v/>
      </c>
    </row>
    <row r="79" spans="2:63" hidden="1" x14ac:dyDescent="0.25">
      <c r="B79"/>
      <c r="C79" s="24">
        <f t="shared" si="26"/>
        <v>72</v>
      </c>
      <c r="D79" s="25" t="s">
        <v>30</v>
      </c>
      <c r="E79" s="175"/>
      <c r="F79" s="89"/>
      <c r="G79" s="89"/>
      <c r="H79" s="104"/>
      <c r="I79" s="104"/>
      <c r="J79" s="89"/>
      <c r="K79" s="89"/>
      <c r="L79" s="89"/>
      <c r="M79" s="89"/>
      <c r="N79" s="89"/>
      <c r="O79" s="89"/>
      <c r="P79" s="104"/>
      <c r="Q79" s="104"/>
      <c r="R79" s="89"/>
      <c r="S79" s="89"/>
      <c r="T79" s="89"/>
      <c r="U79" s="25"/>
      <c r="V79" s="119"/>
      <c r="W79" s="19"/>
      <c r="X79" s="104"/>
      <c r="Y79" s="104"/>
      <c r="Z79" s="104"/>
      <c r="AA79" s="19"/>
      <c r="AB79" s="160" t="str">
        <f>IF(OR(AA79="",G79=""),"",VLOOKUP(G79,'Rating Factors'!$C:$E,3,FALSE)*AA79)</f>
        <v/>
      </c>
      <c r="AC79" s="20"/>
      <c r="AD79" s="20"/>
      <c r="AE79" s="104"/>
      <c r="AF79" s="96"/>
      <c r="AG79" s="20"/>
      <c r="AH79" s="119"/>
      <c r="AI79" s="19"/>
      <c r="AJ79" s="19"/>
      <c r="AK79" s="19"/>
      <c r="AL79" s="96"/>
      <c r="AM79" s="119"/>
      <c r="AN79" s="19"/>
      <c r="AO79" s="20"/>
      <c r="AP79" s="119"/>
      <c r="AQ79" s="115">
        <f t="shared" si="17"/>
        <v>0</v>
      </c>
      <c r="AR79" s="171">
        <f>IF(OR(Z79="",N(Z79)=0),
IF(
N(H79)+N(I79)=0,
0,
MAX(
IFERROR(VLOOKUP(AE79,'Rating Factors'!$BJ:$BK,2,FALSE),0),
((N(H79)*'Rating Factors'!$BF$2)+(N(I79)*'Rating Factors'!$BG$2))
*IFERROR(VLOOKUP(AE79,'Rating Factors'!$Z:$AA,2,FALSE),1)
*IFERROR(VLOOKUP(AJ79,'Rating Factors'!$AD:$AE,2,FALSE),1)
*IFERROR(VLOOKUP(SUM($H$8:$H$127),'Rating Factors'!$BM:$BN,2),1)
*IFERROR(VLOOKUP(SUM($I$8:$I$127),'Rating Factors'!$BH:$BI,2),1)
)
),
MAX(IFERROR(VLOOKUP(AE79,'Rating Factors'!$BJ:$BL,3,FALSE),0),
((N(I79)*'Rating Factors'!$BG$2))
*IFERROR(VLOOKUP(AE79,'Rating Factors'!$Z:$AA,2,FALSE),1)
*IFERROR(VLOOKUP(AJ79,'Rating Factors'!$AD:$AE,2,FALSE),1)
*N(AA79)* IFERROR(VLOOKUP(G79,'Rating Factors'!$C:$D,2,FALSE),1)*0.0045
))</f>
        <v>0</v>
      </c>
      <c r="AS79" s="172">
        <f t="shared" si="18"/>
        <v>0</v>
      </c>
      <c r="AT79" s="115">
        <f t="shared" si="19"/>
        <v>0</v>
      </c>
      <c r="AU79" s="173" t="str">
        <f t="shared" si="20"/>
        <v/>
      </c>
      <c r="AV79" s="174" t="str">
        <f t="shared" si="21"/>
        <v/>
      </c>
      <c r="AW79" s="119"/>
      <c r="AX79" s="141">
        <f>IF(
  OR(
    IFERROR(VLOOKUP(F79,'Rating Factors'!$A:$B,2,FALSE)="Decline",FALSE),
    IFERROR(VLOOKUP(G79,'Rating Factors'!$C:$D,2,FALSE)="Decline",FALSE),
    IFERROR(VLOOKUP(J79,'Rating Factors'!$F:$G,2,FALSE)="Decline",FALSE),
    IFERROR(VLOOKUP(K79,'Rating Factors'!$H:$I,2,FALSE)="Decline",FALSE),
    IFERROR(VLOOKUP(L79,'Rating Factors'!$J:$K,2,FALSE)="Decline",FALSE),
    IFERROR(VLOOKUP(M79,'Rating Factors'!$L:$M,2,FALSE)="Decline",FALSE),
    IFERROR(VLOOKUP(N79,'Rating Factors'!$N:$O,2,FALSE)="Decline",FALSE),
    IFERROR(VLOOKUP(O79,'Rating Factors'!$P:$Q,2,FALSE)="Decline",FALSE),
    IFERROR(VLOOKUP(P79,'Rating Factors'!$BO:$BP,2,FALSE)="Decline",FALSE),
    IFERROR(VLOOKUP(Q79,'Rating Factors'!$BQ:$BR,2,FALSE)="Decline",FALSE),
    IFERROR(VLOOKUP(R79,'Rating Factors'!$R:$S,2,FALSE)="Decline",FALSE),
    IFERROR(VLOOKUP(S79,'Rating Factors'!$T:$U,2,FALSE)="Decline",FALSE),
    IFERROR(VLOOKUP(T79,'Rating Factors'!$V:$W,2,FALSE)="Decline",FALSE),
    IFERROR(VLOOKUP(U79,'Rating Factors'!$X:$Y,2,FALSE)="Decline",FALSE),
    IFERROR(VLOOKUP(AI79,'Rating Factors'!$AB:$AC,2,FALSE)="Decline",FALSE),
    IFERROR(VLOOKUP(AK79,'Rating Factors'!$AK:$AL,2,FALSE)="Decline",FALSE),
    IFERROR(VLOOKUP(AL79,'Rating Factors'!$AP:$AQ,2,FALSE)="Decline",FALSE)
  ),
  "Declined",
  SUM(
    W79,
    X79,
    Y79*
      IFERROR(VLOOKUP(AD79,'Rating Factors'!$BS:$BT,2,FALSE),1),
    Z79*
      IFERROR(VLOOKUP(AD79,'Rating Factors'!$BS:$BT,2,FALSE),1)*
      IFERROR(VLOOKUP(AC79,'Rating Factors'!$BV:$BW,2,FALSE),1),
  )
  * IFERROR(VLOOKUP(F79,'Rating Factors'!$A:$B,2,FALSE),1)
  * IFERROR(VLOOKUP(G79,'Rating Factors'!$C:$D,2,FALSE),1)
  * IFERROR(VLOOKUP(J79,'Rating Factors'!$F:$G,2,FALSE),1)
  * IFERROR(VLOOKUP(K79,'Rating Factors'!$H:$I,2,FALSE),1)
  * IFERROR(VLOOKUP(L79,'Rating Factors'!$J:$K,2,FALSE),1)
  * IFERROR(VLOOKUP(M79,'Rating Factors'!$L:$M,2,FALSE),1)
  * IFERROR(VLOOKUP(N79,'Rating Factors'!$N:$O,2,FALSE),1)
  * IFERROR(VLOOKUP(O79,'Rating Factors'!$P:$Q,2,FALSE),1)
  * IFERROR(VLOOKUP(P79,'Rating Factors'!$BO:$BP,2,FALSE),1)
  * IFERROR(VLOOKUP(Q79,'Rating Factors'!$BQ:$BR,2,FALSE),1)
  * IFERROR(VLOOKUP(R79,'Rating Factors'!$R:$S,2,FALSE),1)
  * IFERROR(VLOOKUP(S79,'Rating Factors'!$T:$U,2,FALSE),1)
  * IFERROR(VLOOKUP(T79,'Rating Factors'!$V:$W,2,FALSE),1)
  * IFERROR(VLOOKUP(U79,'Rating Factors'!$X:$Y,2,FALSE),1)
  * IFERROR(VLOOKUP(AI79,'Rating Factors'!$AB:$AC,2,FALSE),1)
  * IFERROR(VLOOKUP(AK79,'Rating Factors'!$AK:$AL,2,FALSE),1)
  * IFERROR(VLOOKUP(AL79,'Rating Factors'!$AP:$AQ,2,FALSE),1)
  * IFERROR(LOOKUP(SUM($W$8:$Z$127),'Rating Factors'!$BD:$BD,'Rating Factors'!$BE:$BE),1))</f>
        <v>0</v>
      </c>
      <c r="AY79" s="158">
        <f>IF(OR(AQ79="Declined", AN79&lt;&gt;"Y"),
   0,
   N(AT79)*N('Rating Factors'!$AG$2)/100
)</f>
        <v>0</v>
      </c>
      <c r="AZ79" s="158">
        <f t="shared" si="22"/>
        <v>0</v>
      </c>
      <c r="BA79" s="142">
        <f>_xlfn.LET(
  _xlpm.base_ok, AND(AQ79&lt;&gt;"Declined", N(AQ79)&gt;0),
  _xlpm.is_full, EXACT(AG79, "Full Limit"),
  _xlpm.total_tiv, SUM($AT$8:$AT$127),
  _xlpm.loc_tiv, N(BE79),
  _xlpm.full_rate, N('Rating Factors'!$AO$10),
  _xlpm.min_per_loc, N('Rating Factors'!$AN$10),
  _xlpm.n_locs, N(E76),
  _xlpm.sched_prem, MAX(_xlpm.total_tiv*_xlpm.full_rate, _xlpm.min_per_loc*_xlpm.n_locs),
  _xlpm.alloc_prem, IF(_xlpm.total_tiv=0, 0, _xlpm.sched_prem * _xlpm.loc_tiv / _xlpm.total_tiv),
  _xlpm.cap_prem, IFERROR(VLOOKUP(AG79, 'Rating Factors'!$AM:$AN, 2, FALSE), 0),
  IF(_xlpm.base_ok,
     IF(_xlpm.is_full, _xlpm.alloc_prem, _xlpm.cap_prem),
     0
  )
)</f>
        <v>0</v>
      </c>
      <c r="BB79" s="143">
        <f t="shared" si="15"/>
        <v>0</v>
      </c>
      <c r="BC79" s="144">
        <f t="shared" si="23"/>
        <v>0</v>
      </c>
      <c r="BD79" s="145">
        <f t="shared" si="24"/>
        <v>0</v>
      </c>
      <c r="BE79" s="115">
        <f t="shared" si="16"/>
        <v>0</v>
      </c>
      <c r="BF79" s="106" t="str">
        <f t="shared" si="25"/>
        <v/>
      </c>
      <c r="BG79"/>
      <c r="BI79" s="67" t="str" cm="1">
        <f t="array" ref="BI79">IF(E79="","",LEFT(_xlfn.REGEXEXTRACT(UPPER(E79),"[A-Z][0-9][A-Z][ -]?[0-9][A-Z][0-9]"),3))</f>
        <v/>
      </c>
      <c r="BJ79" s="66" t="str">
        <f>IF(E79="","",_xlfn.XLOOKUP(BI79, CrestaP!B:B, CrestaP!D:D, ""))</f>
        <v/>
      </c>
      <c r="BK79" s="66" t="str">
        <f>IFERROR(
  INDEX(
    CrestaP!H4:M9,
    MATCH(J79, {"Frame","Brick Veneer","Joisted Masonry","Non-Combustible","Masonry Non-Combustible","Fire resistive"}, 0),
    MATCH(TEXT(BJ79,"@"), {"16","E5","E4","E3","E2","E1"}, 0)
  ),
  ""
)</f>
        <v/>
      </c>
    </row>
    <row r="80" spans="2:63" hidden="1" x14ac:dyDescent="0.25">
      <c r="B80"/>
      <c r="C80" s="24">
        <f t="shared" si="26"/>
        <v>73</v>
      </c>
      <c r="D80" s="25" t="s">
        <v>30</v>
      </c>
      <c r="E80" s="175"/>
      <c r="F80" s="89"/>
      <c r="G80" s="89"/>
      <c r="H80" s="104"/>
      <c r="I80" s="104"/>
      <c r="J80" s="89"/>
      <c r="K80" s="89"/>
      <c r="L80" s="89"/>
      <c r="M80" s="89"/>
      <c r="N80" s="89"/>
      <c r="O80" s="89"/>
      <c r="P80" s="104"/>
      <c r="Q80" s="104"/>
      <c r="R80" s="89"/>
      <c r="S80" s="89"/>
      <c r="T80" s="89"/>
      <c r="U80" s="25"/>
      <c r="V80" s="119"/>
      <c r="W80" s="19"/>
      <c r="X80" s="104"/>
      <c r="Y80" s="104"/>
      <c r="Z80" s="104"/>
      <c r="AA80" s="19"/>
      <c r="AB80" s="160" t="str">
        <f>IF(OR(AA80="",G80=""),"",VLOOKUP(G80,'Rating Factors'!$C:$E,3,FALSE)*AA80)</f>
        <v/>
      </c>
      <c r="AC80" s="20"/>
      <c r="AD80" s="20"/>
      <c r="AE80" s="104"/>
      <c r="AF80" s="96"/>
      <c r="AG80" s="20"/>
      <c r="AH80" s="119"/>
      <c r="AI80" s="19"/>
      <c r="AJ80" s="19"/>
      <c r="AK80" s="19"/>
      <c r="AL80" s="96"/>
      <c r="AM80" s="119"/>
      <c r="AN80" s="19"/>
      <c r="AO80" s="20"/>
      <c r="AP80" s="119"/>
      <c r="AQ80" s="115">
        <f t="shared" si="17"/>
        <v>0</v>
      </c>
      <c r="AR80" s="171">
        <f>IF(OR(Z80="",N(Z80)=0),
IF(
N(H80)+N(I80)=0,
0,
MAX(
IFERROR(VLOOKUP(AE80,'Rating Factors'!$BJ:$BK,2,FALSE),0),
((N(H80)*'Rating Factors'!$BF$2)+(N(I80)*'Rating Factors'!$BG$2))
*IFERROR(VLOOKUP(AE80,'Rating Factors'!$Z:$AA,2,FALSE),1)
*IFERROR(VLOOKUP(AJ80,'Rating Factors'!$AD:$AE,2,FALSE),1)
*IFERROR(VLOOKUP(SUM($H$8:$H$127),'Rating Factors'!$BM:$BN,2),1)
*IFERROR(VLOOKUP(SUM($I$8:$I$127),'Rating Factors'!$BH:$BI,2),1)
)
),
MAX(IFERROR(VLOOKUP(AE80,'Rating Factors'!$BJ:$BL,3,FALSE),0),
((N(I80)*'Rating Factors'!$BG$2))
*IFERROR(VLOOKUP(AE80,'Rating Factors'!$Z:$AA,2,FALSE),1)
*IFERROR(VLOOKUP(AJ80,'Rating Factors'!$AD:$AE,2,FALSE),1)
*N(AA80)* IFERROR(VLOOKUP(G80,'Rating Factors'!$C:$D,2,FALSE),1)*0.0045
))</f>
        <v>0</v>
      </c>
      <c r="AS80" s="172">
        <f t="shared" si="18"/>
        <v>0</v>
      </c>
      <c r="AT80" s="115">
        <f t="shared" si="19"/>
        <v>0</v>
      </c>
      <c r="AU80" s="173" t="str">
        <f t="shared" si="20"/>
        <v/>
      </c>
      <c r="AV80" s="174" t="str">
        <f t="shared" si="21"/>
        <v/>
      </c>
      <c r="AW80" s="119"/>
      <c r="AX80" s="141">
        <f>IF(
  OR(
    IFERROR(VLOOKUP(F80,'Rating Factors'!$A:$B,2,FALSE)="Decline",FALSE),
    IFERROR(VLOOKUP(G80,'Rating Factors'!$C:$D,2,FALSE)="Decline",FALSE),
    IFERROR(VLOOKUP(J80,'Rating Factors'!$F:$G,2,FALSE)="Decline",FALSE),
    IFERROR(VLOOKUP(K80,'Rating Factors'!$H:$I,2,FALSE)="Decline",FALSE),
    IFERROR(VLOOKUP(L80,'Rating Factors'!$J:$K,2,FALSE)="Decline",FALSE),
    IFERROR(VLOOKUP(M80,'Rating Factors'!$L:$M,2,FALSE)="Decline",FALSE),
    IFERROR(VLOOKUP(N80,'Rating Factors'!$N:$O,2,FALSE)="Decline",FALSE),
    IFERROR(VLOOKUP(O80,'Rating Factors'!$P:$Q,2,FALSE)="Decline",FALSE),
    IFERROR(VLOOKUP(P80,'Rating Factors'!$BO:$BP,2,FALSE)="Decline",FALSE),
    IFERROR(VLOOKUP(Q80,'Rating Factors'!$BQ:$BR,2,FALSE)="Decline",FALSE),
    IFERROR(VLOOKUP(R80,'Rating Factors'!$R:$S,2,FALSE)="Decline",FALSE),
    IFERROR(VLOOKUP(S80,'Rating Factors'!$T:$U,2,FALSE)="Decline",FALSE),
    IFERROR(VLOOKUP(T80,'Rating Factors'!$V:$W,2,FALSE)="Decline",FALSE),
    IFERROR(VLOOKUP(U80,'Rating Factors'!$X:$Y,2,FALSE)="Decline",FALSE),
    IFERROR(VLOOKUP(AI80,'Rating Factors'!$AB:$AC,2,FALSE)="Decline",FALSE),
    IFERROR(VLOOKUP(AK80,'Rating Factors'!$AK:$AL,2,FALSE)="Decline",FALSE),
    IFERROR(VLOOKUP(AL80,'Rating Factors'!$AP:$AQ,2,FALSE)="Decline",FALSE)
  ),
  "Declined",
  SUM(
    W80,
    X80,
    Y80*
      IFERROR(VLOOKUP(AD80,'Rating Factors'!$BS:$BT,2,FALSE),1),
    Z80*
      IFERROR(VLOOKUP(AD80,'Rating Factors'!$BS:$BT,2,FALSE),1)*
      IFERROR(VLOOKUP(AC80,'Rating Factors'!$BV:$BW,2,FALSE),1),
  )
  * IFERROR(VLOOKUP(F80,'Rating Factors'!$A:$B,2,FALSE),1)
  * IFERROR(VLOOKUP(G80,'Rating Factors'!$C:$D,2,FALSE),1)
  * IFERROR(VLOOKUP(J80,'Rating Factors'!$F:$G,2,FALSE),1)
  * IFERROR(VLOOKUP(K80,'Rating Factors'!$H:$I,2,FALSE),1)
  * IFERROR(VLOOKUP(L80,'Rating Factors'!$J:$K,2,FALSE),1)
  * IFERROR(VLOOKUP(M80,'Rating Factors'!$L:$M,2,FALSE),1)
  * IFERROR(VLOOKUP(N80,'Rating Factors'!$N:$O,2,FALSE),1)
  * IFERROR(VLOOKUP(O80,'Rating Factors'!$P:$Q,2,FALSE),1)
  * IFERROR(VLOOKUP(P80,'Rating Factors'!$BO:$BP,2,FALSE),1)
  * IFERROR(VLOOKUP(Q80,'Rating Factors'!$BQ:$BR,2,FALSE),1)
  * IFERROR(VLOOKUP(R80,'Rating Factors'!$R:$S,2,FALSE),1)
  * IFERROR(VLOOKUP(S80,'Rating Factors'!$T:$U,2,FALSE),1)
  * IFERROR(VLOOKUP(T80,'Rating Factors'!$V:$W,2,FALSE),1)
  * IFERROR(VLOOKUP(U80,'Rating Factors'!$X:$Y,2,FALSE),1)
  * IFERROR(VLOOKUP(AI80,'Rating Factors'!$AB:$AC,2,FALSE),1)
  * IFERROR(VLOOKUP(AK80,'Rating Factors'!$AK:$AL,2,FALSE),1)
  * IFERROR(VLOOKUP(AL80,'Rating Factors'!$AP:$AQ,2,FALSE),1)
  * IFERROR(LOOKUP(SUM($W$8:$Z$127),'Rating Factors'!$BD:$BD,'Rating Factors'!$BE:$BE),1))</f>
        <v>0</v>
      </c>
      <c r="AY80" s="158">
        <f>IF(OR(AQ80="Declined", AN80&lt;&gt;"Y"),
   0,
   N(AT80)*N('Rating Factors'!$AG$2)/100
)</f>
        <v>0</v>
      </c>
      <c r="AZ80" s="158">
        <f t="shared" si="22"/>
        <v>0</v>
      </c>
      <c r="BA80" s="142">
        <f>_xlfn.LET(
  _xlpm.base_ok, AND(AQ80&lt;&gt;"Declined", N(AQ80)&gt;0),
  _xlpm.is_full, EXACT(AG80, "Full Limit"),
  _xlpm.total_tiv, SUM($AT$8:$AT$127),
  _xlpm.loc_tiv, N(BE80),
  _xlpm.full_rate, N('Rating Factors'!$AO$10),
  _xlpm.min_per_loc, N('Rating Factors'!$AN$10),
  _xlpm.n_locs, N(E77),
  _xlpm.sched_prem, MAX(_xlpm.total_tiv*_xlpm.full_rate, _xlpm.min_per_loc*_xlpm.n_locs),
  _xlpm.alloc_prem, IF(_xlpm.total_tiv=0, 0, _xlpm.sched_prem * _xlpm.loc_tiv / _xlpm.total_tiv),
  _xlpm.cap_prem, IFERROR(VLOOKUP(AG80, 'Rating Factors'!$AM:$AN, 2, FALSE), 0),
  IF(_xlpm.base_ok,
     IF(_xlpm.is_full, _xlpm.alloc_prem, _xlpm.cap_prem),
     0
  )
)</f>
        <v>0</v>
      </c>
      <c r="BB80" s="143">
        <f t="shared" si="15"/>
        <v>0</v>
      </c>
      <c r="BC80" s="144">
        <f t="shared" si="23"/>
        <v>0</v>
      </c>
      <c r="BD80" s="145">
        <f t="shared" si="24"/>
        <v>0</v>
      </c>
      <c r="BE80" s="115">
        <f t="shared" si="16"/>
        <v>0</v>
      </c>
      <c r="BF80" s="106" t="str">
        <f t="shared" si="25"/>
        <v/>
      </c>
      <c r="BG80"/>
      <c r="BI80" s="67" t="str" cm="1">
        <f t="array" ref="BI80">IF(E80="","",LEFT(_xlfn.REGEXEXTRACT(UPPER(E80),"[A-Z][0-9][A-Z][ -]?[0-9][A-Z][0-9]"),3))</f>
        <v/>
      </c>
      <c r="BJ80" s="66" t="str">
        <f>IF(E80="","",_xlfn.XLOOKUP(BI80, CrestaP!B:B, CrestaP!D:D, ""))</f>
        <v/>
      </c>
      <c r="BK80" s="66" t="str">
        <f>IFERROR(
  INDEX(
    CrestaP!H4:M9,
    MATCH(J80, {"Frame","Brick Veneer","Joisted Masonry","Non-Combustible","Masonry Non-Combustible","Fire resistive"}, 0),
    MATCH(TEXT(BJ80,"@"), {"16","E5","E4","E3","E2","E1"}, 0)
  ),
  ""
)</f>
        <v/>
      </c>
    </row>
    <row r="81" spans="2:63" hidden="1" x14ac:dyDescent="0.25">
      <c r="B81"/>
      <c r="C81" s="24">
        <f t="shared" si="26"/>
        <v>74</v>
      </c>
      <c r="D81" s="25" t="s">
        <v>30</v>
      </c>
      <c r="E81" s="175"/>
      <c r="F81" s="89"/>
      <c r="G81" s="89"/>
      <c r="H81" s="104"/>
      <c r="I81" s="104"/>
      <c r="J81" s="89"/>
      <c r="K81" s="89"/>
      <c r="L81" s="89"/>
      <c r="M81" s="89"/>
      <c r="N81" s="89"/>
      <c r="O81" s="89"/>
      <c r="P81" s="104"/>
      <c r="Q81" s="104"/>
      <c r="R81" s="89"/>
      <c r="S81" s="89"/>
      <c r="T81" s="89"/>
      <c r="U81" s="25"/>
      <c r="V81" s="119"/>
      <c r="W81" s="19"/>
      <c r="X81" s="104"/>
      <c r="Y81" s="104"/>
      <c r="Z81" s="104"/>
      <c r="AA81" s="19"/>
      <c r="AB81" s="160" t="str">
        <f>IF(OR(AA81="",G81=""),"",VLOOKUP(G81,'Rating Factors'!$C:$E,3,FALSE)*AA81)</f>
        <v/>
      </c>
      <c r="AC81" s="20"/>
      <c r="AD81" s="20"/>
      <c r="AE81" s="104"/>
      <c r="AF81" s="96"/>
      <c r="AG81" s="20"/>
      <c r="AH81" s="119"/>
      <c r="AI81" s="19"/>
      <c r="AJ81" s="19"/>
      <c r="AK81" s="19"/>
      <c r="AL81" s="96"/>
      <c r="AM81" s="119"/>
      <c r="AN81" s="19"/>
      <c r="AO81" s="20"/>
      <c r="AP81" s="119"/>
      <c r="AQ81" s="115">
        <f t="shared" si="17"/>
        <v>0</v>
      </c>
      <c r="AR81" s="171">
        <f>IF(OR(Z81="",N(Z81)=0),
IF(
N(H81)+N(I81)=0,
0,
MAX(
IFERROR(VLOOKUP(AE81,'Rating Factors'!$BJ:$BK,2,FALSE),0),
((N(H81)*'Rating Factors'!$BF$2)+(N(I81)*'Rating Factors'!$BG$2))
*IFERROR(VLOOKUP(AE81,'Rating Factors'!$Z:$AA,2,FALSE),1)
*IFERROR(VLOOKUP(AJ81,'Rating Factors'!$AD:$AE,2,FALSE),1)
*IFERROR(VLOOKUP(SUM($H$8:$H$127),'Rating Factors'!$BM:$BN,2),1)
*IFERROR(VLOOKUP(SUM($I$8:$I$127),'Rating Factors'!$BH:$BI,2),1)
)
),
MAX(IFERROR(VLOOKUP(AE81,'Rating Factors'!$BJ:$BL,3,FALSE),0),
((N(I81)*'Rating Factors'!$BG$2))
*IFERROR(VLOOKUP(AE81,'Rating Factors'!$Z:$AA,2,FALSE),1)
*IFERROR(VLOOKUP(AJ81,'Rating Factors'!$AD:$AE,2,FALSE),1)
*N(AA81)* IFERROR(VLOOKUP(G81,'Rating Factors'!$C:$D,2,FALSE),1)*0.0045
))</f>
        <v>0</v>
      </c>
      <c r="AS81" s="172">
        <f t="shared" si="18"/>
        <v>0</v>
      </c>
      <c r="AT81" s="115">
        <f t="shared" si="19"/>
        <v>0</v>
      </c>
      <c r="AU81" s="173" t="str">
        <f t="shared" si="20"/>
        <v/>
      </c>
      <c r="AV81" s="174" t="str">
        <f t="shared" si="21"/>
        <v/>
      </c>
      <c r="AW81" s="119"/>
      <c r="AX81" s="141">
        <f>IF(
  OR(
    IFERROR(VLOOKUP(F81,'Rating Factors'!$A:$B,2,FALSE)="Decline",FALSE),
    IFERROR(VLOOKUP(G81,'Rating Factors'!$C:$D,2,FALSE)="Decline",FALSE),
    IFERROR(VLOOKUP(J81,'Rating Factors'!$F:$G,2,FALSE)="Decline",FALSE),
    IFERROR(VLOOKUP(K81,'Rating Factors'!$H:$I,2,FALSE)="Decline",FALSE),
    IFERROR(VLOOKUP(L81,'Rating Factors'!$J:$K,2,FALSE)="Decline",FALSE),
    IFERROR(VLOOKUP(M81,'Rating Factors'!$L:$M,2,FALSE)="Decline",FALSE),
    IFERROR(VLOOKUP(N81,'Rating Factors'!$N:$O,2,FALSE)="Decline",FALSE),
    IFERROR(VLOOKUP(O81,'Rating Factors'!$P:$Q,2,FALSE)="Decline",FALSE),
    IFERROR(VLOOKUP(P81,'Rating Factors'!$BO:$BP,2,FALSE)="Decline",FALSE),
    IFERROR(VLOOKUP(Q81,'Rating Factors'!$BQ:$BR,2,FALSE)="Decline",FALSE),
    IFERROR(VLOOKUP(R81,'Rating Factors'!$R:$S,2,FALSE)="Decline",FALSE),
    IFERROR(VLOOKUP(S81,'Rating Factors'!$T:$U,2,FALSE)="Decline",FALSE),
    IFERROR(VLOOKUP(T81,'Rating Factors'!$V:$W,2,FALSE)="Decline",FALSE),
    IFERROR(VLOOKUP(U81,'Rating Factors'!$X:$Y,2,FALSE)="Decline",FALSE),
    IFERROR(VLOOKUP(AI81,'Rating Factors'!$AB:$AC,2,FALSE)="Decline",FALSE),
    IFERROR(VLOOKUP(AK81,'Rating Factors'!$AK:$AL,2,FALSE)="Decline",FALSE),
    IFERROR(VLOOKUP(AL81,'Rating Factors'!$AP:$AQ,2,FALSE)="Decline",FALSE)
  ),
  "Declined",
  SUM(
    W81,
    X81,
    Y81*
      IFERROR(VLOOKUP(AD81,'Rating Factors'!$BS:$BT,2,FALSE),1),
    Z81*
      IFERROR(VLOOKUP(AD81,'Rating Factors'!$BS:$BT,2,FALSE),1)*
      IFERROR(VLOOKUP(AC81,'Rating Factors'!$BV:$BW,2,FALSE),1),
  )
  * IFERROR(VLOOKUP(F81,'Rating Factors'!$A:$B,2,FALSE),1)
  * IFERROR(VLOOKUP(G81,'Rating Factors'!$C:$D,2,FALSE),1)
  * IFERROR(VLOOKUP(J81,'Rating Factors'!$F:$G,2,FALSE),1)
  * IFERROR(VLOOKUP(K81,'Rating Factors'!$H:$I,2,FALSE),1)
  * IFERROR(VLOOKUP(L81,'Rating Factors'!$J:$K,2,FALSE),1)
  * IFERROR(VLOOKUP(M81,'Rating Factors'!$L:$M,2,FALSE),1)
  * IFERROR(VLOOKUP(N81,'Rating Factors'!$N:$O,2,FALSE),1)
  * IFERROR(VLOOKUP(O81,'Rating Factors'!$P:$Q,2,FALSE),1)
  * IFERROR(VLOOKUP(P81,'Rating Factors'!$BO:$BP,2,FALSE),1)
  * IFERROR(VLOOKUP(Q81,'Rating Factors'!$BQ:$BR,2,FALSE),1)
  * IFERROR(VLOOKUP(R81,'Rating Factors'!$R:$S,2,FALSE),1)
  * IFERROR(VLOOKUP(S81,'Rating Factors'!$T:$U,2,FALSE),1)
  * IFERROR(VLOOKUP(T81,'Rating Factors'!$V:$W,2,FALSE),1)
  * IFERROR(VLOOKUP(U81,'Rating Factors'!$X:$Y,2,FALSE),1)
  * IFERROR(VLOOKUP(AI81,'Rating Factors'!$AB:$AC,2,FALSE),1)
  * IFERROR(VLOOKUP(AK81,'Rating Factors'!$AK:$AL,2,FALSE),1)
  * IFERROR(VLOOKUP(AL81,'Rating Factors'!$AP:$AQ,2,FALSE),1)
  * IFERROR(LOOKUP(SUM($W$8:$Z$127),'Rating Factors'!$BD:$BD,'Rating Factors'!$BE:$BE),1))</f>
        <v>0</v>
      </c>
      <c r="AY81" s="158">
        <f>IF(OR(AQ81="Declined", AN81&lt;&gt;"Y"),
   0,
   N(AT81)*N('Rating Factors'!$AG$2)/100
)</f>
        <v>0</v>
      </c>
      <c r="AZ81" s="158">
        <f t="shared" si="22"/>
        <v>0</v>
      </c>
      <c r="BA81" s="142">
        <f>_xlfn.LET(
  _xlpm.base_ok, AND(AQ81&lt;&gt;"Declined", N(AQ81)&gt;0),
  _xlpm.is_full, EXACT(AG81, "Full Limit"),
  _xlpm.total_tiv, SUM($AT$8:$AT$127),
  _xlpm.loc_tiv, N(BE81),
  _xlpm.full_rate, N('Rating Factors'!$AO$10),
  _xlpm.min_per_loc, N('Rating Factors'!$AN$10),
  _xlpm.n_locs, N(E78),
  _xlpm.sched_prem, MAX(_xlpm.total_tiv*_xlpm.full_rate, _xlpm.min_per_loc*_xlpm.n_locs),
  _xlpm.alloc_prem, IF(_xlpm.total_tiv=0, 0, _xlpm.sched_prem * _xlpm.loc_tiv / _xlpm.total_tiv),
  _xlpm.cap_prem, IFERROR(VLOOKUP(AG81, 'Rating Factors'!$AM:$AN, 2, FALSE), 0),
  IF(_xlpm.base_ok,
     IF(_xlpm.is_full, _xlpm.alloc_prem, _xlpm.cap_prem),
     0
  )
)</f>
        <v>0</v>
      </c>
      <c r="BB81" s="143">
        <f t="shared" si="15"/>
        <v>0</v>
      </c>
      <c r="BC81" s="144">
        <f t="shared" si="23"/>
        <v>0</v>
      </c>
      <c r="BD81" s="145">
        <f t="shared" si="24"/>
        <v>0</v>
      </c>
      <c r="BE81" s="115">
        <f t="shared" si="16"/>
        <v>0</v>
      </c>
      <c r="BF81" s="106" t="str">
        <f t="shared" si="25"/>
        <v/>
      </c>
      <c r="BG81"/>
      <c r="BI81" s="67" t="str" cm="1">
        <f t="array" ref="BI81">IF(E81="","",LEFT(_xlfn.REGEXEXTRACT(UPPER(E81),"[A-Z][0-9][A-Z][ -]?[0-9][A-Z][0-9]"),3))</f>
        <v/>
      </c>
      <c r="BJ81" s="66" t="str">
        <f>IF(E81="","",_xlfn.XLOOKUP(BI81, CrestaP!B:B, CrestaP!D:D, ""))</f>
        <v/>
      </c>
      <c r="BK81" s="66" t="str">
        <f>IFERROR(
  INDEX(
    CrestaP!H4:M9,
    MATCH(J81, {"Frame","Brick Veneer","Joisted Masonry","Non-Combustible","Masonry Non-Combustible","Fire resistive"}, 0),
    MATCH(TEXT(BJ81,"@"), {"16","E5","E4","E3","E2","E1"}, 0)
  ),
  ""
)</f>
        <v/>
      </c>
    </row>
    <row r="82" spans="2:63" hidden="1" x14ac:dyDescent="0.25">
      <c r="B82"/>
      <c r="C82" s="24">
        <f t="shared" si="26"/>
        <v>75</v>
      </c>
      <c r="D82" s="25" t="s">
        <v>30</v>
      </c>
      <c r="E82" s="175"/>
      <c r="F82" s="89"/>
      <c r="G82" s="89"/>
      <c r="H82" s="104"/>
      <c r="I82" s="104"/>
      <c r="J82" s="89"/>
      <c r="K82" s="89"/>
      <c r="L82" s="89"/>
      <c r="M82" s="89"/>
      <c r="N82" s="89"/>
      <c r="O82" s="89"/>
      <c r="P82" s="104"/>
      <c r="Q82" s="104"/>
      <c r="R82" s="89"/>
      <c r="S82" s="89"/>
      <c r="T82" s="89"/>
      <c r="U82" s="25"/>
      <c r="V82" s="119"/>
      <c r="W82" s="19"/>
      <c r="X82" s="104"/>
      <c r="Y82" s="104"/>
      <c r="Z82" s="104"/>
      <c r="AA82" s="19"/>
      <c r="AB82" s="160" t="str">
        <f>IF(OR(AA82="",G82=""),"",VLOOKUP(G82,'Rating Factors'!$C:$E,3,FALSE)*AA82)</f>
        <v/>
      </c>
      <c r="AC82" s="20"/>
      <c r="AD82" s="20"/>
      <c r="AE82" s="104"/>
      <c r="AF82" s="96"/>
      <c r="AG82" s="20"/>
      <c r="AH82" s="119"/>
      <c r="AI82" s="19"/>
      <c r="AJ82" s="19"/>
      <c r="AK82" s="19"/>
      <c r="AL82" s="96"/>
      <c r="AM82" s="119"/>
      <c r="AN82" s="19"/>
      <c r="AO82" s="20"/>
      <c r="AP82" s="119"/>
      <c r="AQ82" s="115">
        <f t="shared" si="17"/>
        <v>0</v>
      </c>
      <c r="AR82" s="171">
        <f>IF(OR(Z82="",N(Z82)=0),
IF(
N(H82)+N(I82)=0,
0,
MAX(
IFERROR(VLOOKUP(AE82,'Rating Factors'!$BJ:$BK,2,FALSE),0),
((N(H82)*'Rating Factors'!$BF$2)+(N(I82)*'Rating Factors'!$BG$2))
*IFERROR(VLOOKUP(AE82,'Rating Factors'!$Z:$AA,2,FALSE),1)
*IFERROR(VLOOKUP(AJ82,'Rating Factors'!$AD:$AE,2,FALSE),1)
*IFERROR(VLOOKUP(SUM($H$8:$H$127),'Rating Factors'!$BM:$BN,2),1)
*IFERROR(VLOOKUP(SUM($I$8:$I$127),'Rating Factors'!$BH:$BI,2),1)
)
),
MAX(IFERROR(VLOOKUP(AE82,'Rating Factors'!$BJ:$BL,3,FALSE),0),
((N(I82)*'Rating Factors'!$BG$2))
*IFERROR(VLOOKUP(AE82,'Rating Factors'!$Z:$AA,2,FALSE),1)
*IFERROR(VLOOKUP(AJ82,'Rating Factors'!$AD:$AE,2,FALSE),1)
*N(AA82)* IFERROR(VLOOKUP(G82,'Rating Factors'!$C:$D,2,FALSE),1)*0.0045
))</f>
        <v>0</v>
      </c>
      <c r="AS82" s="172">
        <f t="shared" si="18"/>
        <v>0</v>
      </c>
      <c r="AT82" s="115">
        <f t="shared" si="19"/>
        <v>0</v>
      </c>
      <c r="AU82" s="173" t="str">
        <f t="shared" si="20"/>
        <v/>
      </c>
      <c r="AV82" s="174" t="str">
        <f t="shared" si="21"/>
        <v/>
      </c>
      <c r="AW82" s="119"/>
      <c r="AX82" s="141">
        <f>IF(
  OR(
    IFERROR(VLOOKUP(F82,'Rating Factors'!$A:$B,2,FALSE)="Decline",FALSE),
    IFERROR(VLOOKUP(G82,'Rating Factors'!$C:$D,2,FALSE)="Decline",FALSE),
    IFERROR(VLOOKUP(J82,'Rating Factors'!$F:$G,2,FALSE)="Decline",FALSE),
    IFERROR(VLOOKUP(K82,'Rating Factors'!$H:$I,2,FALSE)="Decline",FALSE),
    IFERROR(VLOOKUP(L82,'Rating Factors'!$J:$K,2,FALSE)="Decline",FALSE),
    IFERROR(VLOOKUP(M82,'Rating Factors'!$L:$M,2,FALSE)="Decline",FALSE),
    IFERROR(VLOOKUP(N82,'Rating Factors'!$N:$O,2,FALSE)="Decline",FALSE),
    IFERROR(VLOOKUP(O82,'Rating Factors'!$P:$Q,2,FALSE)="Decline",FALSE),
    IFERROR(VLOOKUP(P82,'Rating Factors'!$BO:$BP,2,FALSE)="Decline",FALSE),
    IFERROR(VLOOKUP(Q82,'Rating Factors'!$BQ:$BR,2,FALSE)="Decline",FALSE),
    IFERROR(VLOOKUP(R82,'Rating Factors'!$R:$S,2,FALSE)="Decline",FALSE),
    IFERROR(VLOOKUP(S82,'Rating Factors'!$T:$U,2,FALSE)="Decline",FALSE),
    IFERROR(VLOOKUP(T82,'Rating Factors'!$V:$W,2,FALSE)="Decline",FALSE),
    IFERROR(VLOOKUP(U82,'Rating Factors'!$X:$Y,2,FALSE)="Decline",FALSE),
    IFERROR(VLOOKUP(AI82,'Rating Factors'!$AB:$AC,2,FALSE)="Decline",FALSE),
    IFERROR(VLOOKUP(AK82,'Rating Factors'!$AK:$AL,2,FALSE)="Decline",FALSE),
    IFERROR(VLOOKUP(AL82,'Rating Factors'!$AP:$AQ,2,FALSE)="Decline",FALSE)
  ),
  "Declined",
  SUM(
    W82,
    X82,
    Y82*
      IFERROR(VLOOKUP(AD82,'Rating Factors'!$BS:$BT,2,FALSE),1),
    Z82*
      IFERROR(VLOOKUP(AD82,'Rating Factors'!$BS:$BT,2,FALSE),1)*
      IFERROR(VLOOKUP(AC82,'Rating Factors'!$BV:$BW,2,FALSE),1),
  )
  * IFERROR(VLOOKUP(F82,'Rating Factors'!$A:$B,2,FALSE),1)
  * IFERROR(VLOOKUP(G82,'Rating Factors'!$C:$D,2,FALSE),1)
  * IFERROR(VLOOKUP(J82,'Rating Factors'!$F:$G,2,FALSE),1)
  * IFERROR(VLOOKUP(K82,'Rating Factors'!$H:$I,2,FALSE),1)
  * IFERROR(VLOOKUP(L82,'Rating Factors'!$J:$K,2,FALSE),1)
  * IFERROR(VLOOKUP(M82,'Rating Factors'!$L:$M,2,FALSE),1)
  * IFERROR(VLOOKUP(N82,'Rating Factors'!$N:$O,2,FALSE),1)
  * IFERROR(VLOOKUP(O82,'Rating Factors'!$P:$Q,2,FALSE),1)
  * IFERROR(VLOOKUP(P82,'Rating Factors'!$BO:$BP,2,FALSE),1)
  * IFERROR(VLOOKUP(Q82,'Rating Factors'!$BQ:$BR,2,FALSE),1)
  * IFERROR(VLOOKUP(R82,'Rating Factors'!$R:$S,2,FALSE),1)
  * IFERROR(VLOOKUP(S82,'Rating Factors'!$T:$U,2,FALSE),1)
  * IFERROR(VLOOKUP(T82,'Rating Factors'!$V:$W,2,FALSE),1)
  * IFERROR(VLOOKUP(U82,'Rating Factors'!$X:$Y,2,FALSE),1)
  * IFERROR(VLOOKUP(AI82,'Rating Factors'!$AB:$AC,2,FALSE),1)
  * IFERROR(VLOOKUP(AK82,'Rating Factors'!$AK:$AL,2,FALSE),1)
  * IFERROR(VLOOKUP(AL82,'Rating Factors'!$AP:$AQ,2,FALSE),1)
  * IFERROR(LOOKUP(SUM($W$8:$Z$127),'Rating Factors'!$BD:$BD,'Rating Factors'!$BE:$BE),1))</f>
        <v>0</v>
      </c>
      <c r="AY82" s="158">
        <f>IF(OR(AQ82="Declined", AN82&lt;&gt;"Y"),
   0,
   N(AT82)*N('Rating Factors'!$AG$2)/100
)</f>
        <v>0</v>
      </c>
      <c r="AZ82" s="158">
        <f t="shared" si="22"/>
        <v>0</v>
      </c>
      <c r="BA82" s="142">
        <f>_xlfn.LET(
  _xlpm.base_ok, AND(AQ82&lt;&gt;"Declined", N(AQ82)&gt;0),
  _xlpm.is_full, EXACT(AG82, "Full Limit"),
  _xlpm.total_tiv, SUM($AT$8:$AT$127),
  _xlpm.loc_tiv, N(BE82),
  _xlpm.full_rate, N('Rating Factors'!$AO$10),
  _xlpm.min_per_loc, N('Rating Factors'!$AN$10),
  _xlpm.n_locs, N(E79),
  _xlpm.sched_prem, MAX(_xlpm.total_tiv*_xlpm.full_rate, _xlpm.min_per_loc*_xlpm.n_locs),
  _xlpm.alloc_prem, IF(_xlpm.total_tiv=0, 0, _xlpm.sched_prem * _xlpm.loc_tiv / _xlpm.total_tiv),
  _xlpm.cap_prem, IFERROR(VLOOKUP(AG82, 'Rating Factors'!$AM:$AN, 2, FALSE), 0),
  IF(_xlpm.base_ok,
     IF(_xlpm.is_full, _xlpm.alloc_prem, _xlpm.cap_prem),
     0
  )
)</f>
        <v>0</v>
      </c>
      <c r="BB82" s="143">
        <f t="shared" si="15"/>
        <v>0</v>
      </c>
      <c r="BC82" s="144">
        <f t="shared" si="23"/>
        <v>0</v>
      </c>
      <c r="BD82" s="145">
        <f t="shared" si="24"/>
        <v>0</v>
      </c>
      <c r="BE82" s="115">
        <f t="shared" si="16"/>
        <v>0</v>
      </c>
      <c r="BF82" s="106" t="str">
        <f t="shared" si="25"/>
        <v/>
      </c>
      <c r="BG82"/>
      <c r="BI82" s="67" t="str" cm="1">
        <f t="array" ref="BI82">IF(E82="","",LEFT(_xlfn.REGEXEXTRACT(UPPER(E82),"[A-Z][0-9][A-Z][ -]?[0-9][A-Z][0-9]"),3))</f>
        <v/>
      </c>
      <c r="BJ82" s="66" t="str">
        <f>IF(E82="","",_xlfn.XLOOKUP(BI82, CrestaP!B:B, CrestaP!D:D, ""))</f>
        <v/>
      </c>
      <c r="BK82" s="66" t="str">
        <f>IFERROR(
  INDEX(
    CrestaP!H4:M9,
    MATCH(J82, {"Frame","Brick Veneer","Joisted Masonry","Non-Combustible","Masonry Non-Combustible","Fire resistive"}, 0),
    MATCH(TEXT(BJ82,"@"), {"16","E5","E4","E3","E2","E1"}, 0)
  ),
  ""
)</f>
        <v/>
      </c>
    </row>
    <row r="83" spans="2:63" hidden="1" x14ac:dyDescent="0.25">
      <c r="B83"/>
      <c r="C83" s="24">
        <f t="shared" si="26"/>
        <v>76</v>
      </c>
      <c r="D83" s="25" t="s">
        <v>30</v>
      </c>
      <c r="E83" s="175"/>
      <c r="F83" s="89"/>
      <c r="G83" s="89"/>
      <c r="H83" s="104"/>
      <c r="I83" s="104"/>
      <c r="J83" s="89"/>
      <c r="K83" s="89"/>
      <c r="L83" s="89"/>
      <c r="M83" s="89"/>
      <c r="N83" s="89"/>
      <c r="O83" s="89"/>
      <c r="P83" s="104"/>
      <c r="Q83" s="104"/>
      <c r="R83" s="89"/>
      <c r="S83" s="89"/>
      <c r="T83" s="89"/>
      <c r="U83" s="25"/>
      <c r="V83" s="119"/>
      <c r="W83" s="19"/>
      <c r="X83" s="104"/>
      <c r="Y83" s="104"/>
      <c r="Z83" s="104"/>
      <c r="AA83" s="19"/>
      <c r="AB83" s="160" t="str">
        <f>IF(OR(AA83="",G83=""),"",VLOOKUP(G83,'Rating Factors'!$C:$E,3,FALSE)*AA83)</f>
        <v/>
      </c>
      <c r="AC83" s="20"/>
      <c r="AD83" s="20"/>
      <c r="AE83" s="104"/>
      <c r="AF83" s="96"/>
      <c r="AG83" s="20"/>
      <c r="AH83" s="119"/>
      <c r="AI83" s="19"/>
      <c r="AJ83" s="19"/>
      <c r="AK83" s="19"/>
      <c r="AL83" s="96"/>
      <c r="AM83" s="119"/>
      <c r="AN83" s="19"/>
      <c r="AO83" s="20"/>
      <c r="AP83" s="119"/>
      <c r="AQ83" s="115">
        <f t="shared" si="17"/>
        <v>0</v>
      </c>
      <c r="AR83" s="171">
        <f>IF(OR(Z83="",N(Z83)=0),
IF(
N(H83)+N(I83)=0,
0,
MAX(
IFERROR(VLOOKUP(AE83,'Rating Factors'!$BJ:$BK,2,FALSE),0),
((N(H83)*'Rating Factors'!$BF$2)+(N(I83)*'Rating Factors'!$BG$2))
*IFERROR(VLOOKUP(AE83,'Rating Factors'!$Z:$AA,2,FALSE),1)
*IFERROR(VLOOKUP(AJ83,'Rating Factors'!$AD:$AE,2,FALSE),1)
*IFERROR(VLOOKUP(SUM($H$8:$H$127),'Rating Factors'!$BM:$BN,2),1)
*IFERROR(VLOOKUP(SUM($I$8:$I$127),'Rating Factors'!$BH:$BI,2),1)
)
),
MAX(IFERROR(VLOOKUP(AE83,'Rating Factors'!$BJ:$BL,3,FALSE),0),
((N(I83)*'Rating Factors'!$BG$2))
*IFERROR(VLOOKUP(AE83,'Rating Factors'!$Z:$AA,2,FALSE),1)
*IFERROR(VLOOKUP(AJ83,'Rating Factors'!$AD:$AE,2,FALSE),1)
*N(AA83)* IFERROR(VLOOKUP(G83,'Rating Factors'!$C:$D,2,FALSE),1)*0.0045
))</f>
        <v>0</v>
      </c>
      <c r="AS83" s="172">
        <f t="shared" si="18"/>
        <v>0</v>
      </c>
      <c r="AT83" s="115">
        <f t="shared" si="19"/>
        <v>0</v>
      </c>
      <c r="AU83" s="173" t="str">
        <f t="shared" si="20"/>
        <v/>
      </c>
      <c r="AV83" s="174" t="str">
        <f t="shared" si="21"/>
        <v/>
      </c>
      <c r="AW83" s="119"/>
      <c r="AX83" s="141">
        <f>IF(
  OR(
    IFERROR(VLOOKUP(F83,'Rating Factors'!$A:$B,2,FALSE)="Decline",FALSE),
    IFERROR(VLOOKUP(G83,'Rating Factors'!$C:$D,2,FALSE)="Decline",FALSE),
    IFERROR(VLOOKUP(J83,'Rating Factors'!$F:$G,2,FALSE)="Decline",FALSE),
    IFERROR(VLOOKUP(K83,'Rating Factors'!$H:$I,2,FALSE)="Decline",FALSE),
    IFERROR(VLOOKUP(L83,'Rating Factors'!$J:$K,2,FALSE)="Decline",FALSE),
    IFERROR(VLOOKUP(M83,'Rating Factors'!$L:$M,2,FALSE)="Decline",FALSE),
    IFERROR(VLOOKUP(N83,'Rating Factors'!$N:$O,2,FALSE)="Decline",FALSE),
    IFERROR(VLOOKUP(O83,'Rating Factors'!$P:$Q,2,FALSE)="Decline",FALSE),
    IFERROR(VLOOKUP(P83,'Rating Factors'!$BO:$BP,2,FALSE)="Decline",FALSE),
    IFERROR(VLOOKUP(Q83,'Rating Factors'!$BQ:$BR,2,FALSE)="Decline",FALSE),
    IFERROR(VLOOKUP(R83,'Rating Factors'!$R:$S,2,FALSE)="Decline",FALSE),
    IFERROR(VLOOKUP(S83,'Rating Factors'!$T:$U,2,FALSE)="Decline",FALSE),
    IFERROR(VLOOKUP(T83,'Rating Factors'!$V:$W,2,FALSE)="Decline",FALSE),
    IFERROR(VLOOKUP(U83,'Rating Factors'!$X:$Y,2,FALSE)="Decline",FALSE),
    IFERROR(VLOOKUP(AI83,'Rating Factors'!$AB:$AC,2,FALSE)="Decline",FALSE),
    IFERROR(VLOOKUP(AK83,'Rating Factors'!$AK:$AL,2,FALSE)="Decline",FALSE),
    IFERROR(VLOOKUP(AL83,'Rating Factors'!$AP:$AQ,2,FALSE)="Decline",FALSE)
  ),
  "Declined",
  SUM(
    W83,
    X83,
    Y83*
      IFERROR(VLOOKUP(AD83,'Rating Factors'!$BS:$BT,2,FALSE),1),
    Z83*
      IFERROR(VLOOKUP(AD83,'Rating Factors'!$BS:$BT,2,FALSE),1)*
      IFERROR(VLOOKUP(AC83,'Rating Factors'!$BV:$BW,2,FALSE),1),
  )
  * IFERROR(VLOOKUP(F83,'Rating Factors'!$A:$B,2,FALSE),1)
  * IFERROR(VLOOKUP(G83,'Rating Factors'!$C:$D,2,FALSE),1)
  * IFERROR(VLOOKUP(J83,'Rating Factors'!$F:$G,2,FALSE),1)
  * IFERROR(VLOOKUP(K83,'Rating Factors'!$H:$I,2,FALSE),1)
  * IFERROR(VLOOKUP(L83,'Rating Factors'!$J:$K,2,FALSE),1)
  * IFERROR(VLOOKUP(M83,'Rating Factors'!$L:$M,2,FALSE),1)
  * IFERROR(VLOOKUP(N83,'Rating Factors'!$N:$O,2,FALSE),1)
  * IFERROR(VLOOKUP(O83,'Rating Factors'!$P:$Q,2,FALSE),1)
  * IFERROR(VLOOKUP(P83,'Rating Factors'!$BO:$BP,2,FALSE),1)
  * IFERROR(VLOOKUP(Q83,'Rating Factors'!$BQ:$BR,2,FALSE),1)
  * IFERROR(VLOOKUP(R83,'Rating Factors'!$R:$S,2,FALSE),1)
  * IFERROR(VLOOKUP(S83,'Rating Factors'!$T:$U,2,FALSE),1)
  * IFERROR(VLOOKUP(T83,'Rating Factors'!$V:$W,2,FALSE),1)
  * IFERROR(VLOOKUP(U83,'Rating Factors'!$X:$Y,2,FALSE),1)
  * IFERROR(VLOOKUP(AI83,'Rating Factors'!$AB:$AC,2,FALSE),1)
  * IFERROR(VLOOKUP(AK83,'Rating Factors'!$AK:$AL,2,FALSE),1)
  * IFERROR(VLOOKUP(AL83,'Rating Factors'!$AP:$AQ,2,FALSE),1)
  * IFERROR(LOOKUP(SUM($W$8:$Z$127),'Rating Factors'!$BD:$BD,'Rating Factors'!$BE:$BE),1))</f>
        <v>0</v>
      </c>
      <c r="AY83" s="158">
        <f>IF(OR(AQ83="Declined", AN83&lt;&gt;"Y"),
   0,
   N(AT83)*N('Rating Factors'!$AG$2)/100
)</f>
        <v>0</v>
      </c>
      <c r="AZ83" s="158">
        <f t="shared" si="22"/>
        <v>0</v>
      </c>
      <c r="BA83" s="142">
        <f>_xlfn.LET(
  _xlpm.base_ok, AND(AQ83&lt;&gt;"Declined", N(AQ83)&gt;0),
  _xlpm.is_full, EXACT(AG83, "Full Limit"),
  _xlpm.total_tiv, SUM($AT$8:$AT$127),
  _xlpm.loc_tiv, N(BE83),
  _xlpm.full_rate, N('Rating Factors'!$AO$10),
  _xlpm.min_per_loc, N('Rating Factors'!$AN$10),
  _xlpm.n_locs, N(E80),
  _xlpm.sched_prem, MAX(_xlpm.total_tiv*_xlpm.full_rate, _xlpm.min_per_loc*_xlpm.n_locs),
  _xlpm.alloc_prem, IF(_xlpm.total_tiv=0, 0, _xlpm.sched_prem * _xlpm.loc_tiv / _xlpm.total_tiv),
  _xlpm.cap_prem, IFERROR(VLOOKUP(AG83, 'Rating Factors'!$AM:$AN, 2, FALSE), 0),
  IF(_xlpm.base_ok,
     IF(_xlpm.is_full, _xlpm.alloc_prem, _xlpm.cap_prem),
     0
  )
)</f>
        <v>0</v>
      </c>
      <c r="BB83" s="143">
        <f t="shared" si="15"/>
        <v>0</v>
      </c>
      <c r="BC83" s="144">
        <f t="shared" si="23"/>
        <v>0</v>
      </c>
      <c r="BD83" s="145">
        <f t="shared" si="24"/>
        <v>0</v>
      </c>
      <c r="BE83" s="115">
        <f t="shared" si="16"/>
        <v>0</v>
      </c>
      <c r="BF83" s="106" t="str">
        <f t="shared" si="25"/>
        <v/>
      </c>
      <c r="BG83"/>
      <c r="BI83" s="67" t="str" cm="1">
        <f t="array" ref="BI83">IF(E83="","",LEFT(_xlfn.REGEXEXTRACT(UPPER(E83),"[A-Z][0-9][A-Z][ -]?[0-9][A-Z][0-9]"),3))</f>
        <v/>
      </c>
      <c r="BJ83" s="66" t="str">
        <f>IF(E83="","",_xlfn.XLOOKUP(BI83, CrestaP!B:B, CrestaP!D:D, ""))</f>
        <v/>
      </c>
      <c r="BK83" s="66" t="str">
        <f>IFERROR(
  INDEX(
    CrestaP!H4:M9,
    MATCH(J83, {"Frame","Brick Veneer","Joisted Masonry","Non-Combustible","Masonry Non-Combustible","Fire resistive"}, 0),
    MATCH(TEXT(BJ83,"@"), {"16","E5","E4","E3","E2","E1"}, 0)
  ),
  ""
)</f>
        <v/>
      </c>
    </row>
    <row r="84" spans="2:63" hidden="1" x14ac:dyDescent="0.25">
      <c r="B84"/>
      <c r="C84" s="24">
        <f t="shared" si="26"/>
        <v>77</v>
      </c>
      <c r="D84" s="25" t="s">
        <v>30</v>
      </c>
      <c r="E84" s="175"/>
      <c r="F84" s="89"/>
      <c r="G84" s="89"/>
      <c r="H84" s="104"/>
      <c r="I84" s="104"/>
      <c r="J84" s="89"/>
      <c r="K84" s="89"/>
      <c r="L84" s="89"/>
      <c r="M84" s="89"/>
      <c r="N84" s="89"/>
      <c r="O84" s="89"/>
      <c r="P84" s="104"/>
      <c r="Q84" s="104"/>
      <c r="R84" s="89"/>
      <c r="S84" s="89"/>
      <c r="T84" s="89"/>
      <c r="U84" s="25"/>
      <c r="V84" s="119"/>
      <c r="W84" s="19"/>
      <c r="X84" s="104"/>
      <c r="Y84" s="104"/>
      <c r="Z84" s="104"/>
      <c r="AA84" s="19"/>
      <c r="AB84" s="160" t="str">
        <f>IF(OR(AA84="",G84=""),"",VLOOKUP(G84,'Rating Factors'!$C:$E,3,FALSE)*AA84)</f>
        <v/>
      </c>
      <c r="AC84" s="20"/>
      <c r="AD84" s="20"/>
      <c r="AE84" s="104"/>
      <c r="AF84" s="96"/>
      <c r="AG84" s="20"/>
      <c r="AH84" s="119"/>
      <c r="AI84" s="19"/>
      <c r="AJ84" s="19"/>
      <c r="AK84" s="19"/>
      <c r="AL84" s="96"/>
      <c r="AM84" s="119"/>
      <c r="AN84" s="19"/>
      <c r="AO84" s="20"/>
      <c r="AP84" s="119"/>
      <c r="AQ84" s="115">
        <f t="shared" si="17"/>
        <v>0</v>
      </c>
      <c r="AR84" s="171">
        <f>IF(OR(Z84="",N(Z84)=0),
IF(
N(H84)+N(I84)=0,
0,
MAX(
IFERROR(VLOOKUP(AE84,'Rating Factors'!$BJ:$BK,2,FALSE),0),
((N(H84)*'Rating Factors'!$BF$2)+(N(I84)*'Rating Factors'!$BG$2))
*IFERROR(VLOOKUP(AE84,'Rating Factors'!$Z:$AA,2,FALSE),1)
*IFERROR(VLOOKUP(AJ84,'Rating Factors'!$AD:$AE,2,FALSE),1)
*IFERROR(VLOOKUP(SUM($H$8:$H$127),'Rating Factors'!$BM:$BN,2),1)
*IFERROR(VLOOKUP(SUM($I$8:$I$127),'Rating Factors'!$BH:$BI,2),1)
)
),
MAX(IFERROR(VLOOKUP(AE84,'Rating Factors'!$BJ:$BL,3,FALSE),0),
((N(I84)*'Rating Factors'!$BG$2))
*IFERROR(VLOOKUP(AE84,'Rating Factors'!$Z:$AA,2,FALSE),1)
*IFERROR(VLOOKUP(AJ84,'Rating Factors'!$AD:$AE,2,FALSE),1)
*N(AA84)* IFERROR(VLOOKUP(G84,'Rating Factors'!$C:$D,2,FALSE),1)*0.0045
))</f>
        <v>0</v>
      </c>
      <c r="AS84" s="172">
        <f t="shared" si="18"/>
        <v>0</v>
      </c>
      <c r="AT84" s="115">
        <f t="shared" si="19"/>
        <v>0</v>
      </c>
      <c r="AU84" s="173" t="str">
        <f t="shared" si="20"/>
        <v/>
      </c>
      <c r="AV84" s="174" t="str">
        <f t="shared" si="21"/>
        <v/>
      </c>
      <c r="AW84" s="119"/>
      <c r="AX84" s="141">
        <f>IF(
  OR(
    IFERROR(VLOOKUP(F84,'Rating Factors'!$A:$B,2,FALSE)="Decline",FALSE),
    IFERROR(VLOOKUP(G84,'Rating Factors'!$C:$D,2,FALSE)="Decline",FALSE),
    IFERROR(VLOOKUP(J84,'Rating Factors'!$F:$G,2,FALSE)="Decline",FALSE),
    IFERROR(VLOOKUP(K84,'Rating Factors'!$H:$I,2,FALSE)="Decline",FALSE),
    IFERROR(VLOOKUP(L84,'Rating Factors'!$J:$K,2,FALSE)="Decline",FALSE),
    IFERROR(VLOOKUP(M84,'Rating Factors'!$L:$M,2,FALSE)="Decline",FALSE),
    IFERROR(VLOOKUP(N84,'Rating Factors'!$N:$O,2,FALSE)="Decline",FALSE),
    IFERROR(VLOOKUP(O84,'Rating Factors'!$P:$Q,2,FALSE)="Decline",FALSE),
    IFERROR(VLOOKUP(P84,'Rating Factors'!$BO:$BP,2,FALSE)="Decline",FALSE),
    IFERROR(VLOOKUP(Q84,'Rating Factors'!$BQ:$BR,2,FALSE)="Decline",FALSE),
    IFERROR(VLOOKUP(R84,'Rating Factors'!$R:$S,2,FALSE)="Decline",FALSE),
    IFERROR(VLOOKUP(S84,'Rating Factors'!$T:$U,2,FALSE)="Decline",FALSE),
    IFERROR(VLOOKUP(T84,'Rating Factors'!$V:$W,2,FALSE)="Decline",FALSE),
    IFERROR(VLOOKUP(U84,'Rating Factors'!$X:$Y,2,FALSE)="Decline",FALSE),
    IFERROR(VLOOKUP(AI84,'Rating Factors'!$AB:$AC,2,FALSE)="Decline",FALSE),
    IFERROR(VLOOKUP(AK84,'Rating Factors'!$AK:$AL,2,FALSE)="Decline",FALSE),
    IFERROR(VLOOKUP(AL84,'Rating Factors'!$AP:$AQ,2,FALSE)="Decline",FALSE)
  ),
  "Declined",
  SUM(
    W84,
    X84,
    Y84*
      IFERROR(VLOOKUP(AD84,'Rating Factors'!$BS:$BT,2,FALSE),1),
    Z84*
      IFERROR(VLOOKUP(AD84,'Rating Factors'!$BS:$BT,2,FALSE),1)*
      IFERROR(VLOOKUP(AC84,'Rating Factors'!$BV:$BW,2,FALSE),1),
  )
  * IFERROR(VLOOKUP(F84,'Rating Factors'!$A:$B,2,FALSE),1)
  * IFERROR(VLOOKUP(G84,'Rating Factors'!$C:$D,2,FALSE),1)
  * IFERROR(VLOOKUP(J84,'Rating Factors'!$F:$G,2,FALSE),1)
  * IFERROR(VLOOKUP(K84,'Rating Factors'!$H:$I,2,FALSE),1)
  * IFERROR(VLOOKUP(L84,'Rating Factors'!$J:$K,2,FALSE),1)
  * IFERROR(VLOOKUP(M84,'Rating Factors'!$L:$M,2,FALSE),1)
  * IFERROR(VLOOKUP(N84,'Rating Factors'!$N:$O,2,FALSE),1)
  * IFERROR(VLOOKUP(O84,'Rating Factors'!$P:$Q,2,FALSE),1)
  * IFERROR(VLOOKUP(P84,'Rating Factors'!$BO:$BP,2,FALSE),1)
  * IFERROR(VLOOKUP(Q84,'Rating Factors'!$BQ:$BR,2,FALSE),1)
  * IFERROR(VLOOKUP(R84,'Rating Factors'!$R:$S,2,FALSE),1)
  * IFERROR(VLOOKUP(S84,'Rating Factors'!$T:$U,2,FALSE),1)
  * IFERROR(VLOOKUP(T84,'Rating Factors'!$V:$W,2,FALSE),1)
  * IFERROR(VLOOKUP(U84,'Rating Factors'!$X:$Y,2,FALSE),1)
  * IFERROR(VLOOKUP(AI84,'Rating Factors'!$AB:$AC,2,FALSE),1)
  * IFERROR(VLOOKUP(AK84,'Rating Factors'!$AK:$AL,2,FALSE),1)
  * IFERROR(VLOOKUP(AL84,'Rating Factors'!$AP:$AQ,2,FALSE),1)
  * IFERROR(LOOKUP(SUM($W$8:$Z$127),'Rating Factors'!$BD:$BD,'Rating Factors'!$BE:$BE),1))</f>
        <v>0</v>
      </c>
      <c r="AY84" s="158">
        <f>IF(OR(AQ84="Declined", AN84&lt;&gt;"Y"),
   0,
   N(AT84)*N('Rating Factors'!$AG$2)/100
)</f>
        <v>0</v>
      </c>
      <c r="AZ84" s="158">
        <f t="shared" si="22"/>
        <v>0</v>
      </c>
      <c r="BA84" s="142">
        <f>_xlfn.LET(
  _xlpm.base_ok, AND(AQ84&lt;&gt;"Declined", N(AQ84)&gt;0),
  _xlpm.is_full, EXACT(AG84, "Full Limit"),
  _xlpm.total_tiv, SUM($AT$8:$AT$127),
  _xlpm.loc_tiv, N(BE84),
  _xlpm.full_rate, N('Rating Factors'!$AO$10),
  _xlpm.min_per_loc, N('Rating Factors'!$AN$10),
  _xlpm.n_locs, N(E81),
  _xlpm.sched_prem, MAX(_xlpm.total_tiv*_xlpm.full_rate, _xlpm.min_per_loc*_xlpm.n_locs),
  _xlpm.alloc_prem, IF(_xlpm.total_tiv=0, 0, _xlpm.sched_prem * _xlpm.loc_tiv / _xlpm.total_tiv),
  _xlpm.cap_prem, IFERROR(VLOOKUP(AG84, 'Rating Factors'!$AM:$AN, 2, FALSE), 0),
  IF(_xlpm.base_ok,
     IF(_xlpm.is_full, _xlpm.alloc_prem, _xlpm.cap_prem),
     0
  )
)</f>
        <v>0</v>
      </c>
      <c r="BB84" s="143">
        <f t="shared" si="15"/>
        <v>0</v>
      </c>
      <c r="BC84" s="144">
        <f t="shared" si="23"/>
        <v>0</v>
      </c>
      <c r="BD84" s="145">
        <f t="shared" si="24"/>
        <v>0</v>
      </c>
      <c r="BE84" s="115">
        <f t="shared" si="16"/>
        <v>0</v>
      </c>
      <c r="BF84" s="106" t="str">
        <f t="shared" si="25"/>
        <v/>
      </c>
      <c r="BG84"/>
      <c r="BI84" s="67" t="str" cm="1">
        <f t="array" ref="BI84">IF(E84="","",LEFT(_xlfn.REGEXEXTRACT(UPPER(E84),"[A-Z][0-9][A-Z][ -]?[0-9][A-Z][0-9]"),3))</f>
        <v/>
      </c>
      <c r="BJ84" s="66" t="str">
        <f>IF(E84="","",_xlfn.XLOOKUP(BI84, CrestaP!B:B, CrestaP!D:D, ""))</f>
        <v/>
      </c>
      <c r="BK84" s="66" t="str">
        <f>IFERROR(
  INDEX(
    CrestaP!H4:M9,
    MATCH(J84, {"Frame","Brick Veneer","Joisted Masonry","Non-Combustible","Masonry Non-Combustible","Fire resistive"}, 0),
    MATCH(TEXT(BJ84,"@"), {"16","E5","E4","E3","E2","E1"}, 0)
  ),
  ""
)</f>
        <v/>
      </c>
    </row>
    <row r="85" spans="2:63" hidden="1" x14ac:dyDescent="0.25">
      <c r="B85"/>
      <c r="C85" s="24">
        <f t="shared" si="26"/>
        <v>78</v>
      </c>
      <c r="D85" s="25" t="s">
        <v>30</v>
      </c>
      <c r="E85" s="175"/>
      <c r="F85" s="89"/>
      <c r="G85" s="89"/>
      <c r="H85" s="104"/>
      <c r="I85" s="104"/>
      <c r="J85" s="89"/>
      <c r="K85" s="89"/>
      <c r="L85" s="89"/>
      <c r="M85" s="89"/>
      <c r="N85" s="89"/>
      <c r="O85" s="89"/>
      <c r="P85" s="104"/>
      <c r="Q85" s="104"/>
      <c r="R85" s="89"/>
      <c r="S85" s="89"/>
      <c r="T85" s="89"/>
      <c r="U85" s="25"/>
      <c r="V85" s="119"/>
      <c r="W85" s="19"/>
      <c r="X85" s="104"/>
      <c r="Y85" s="104"/>
      <c r="Z85" s="104"/>
      <c r="AA85" s="19"/>
      <c r="AB85" s="160" t="str">
        <f>IF(OR(AA85="",G85=""),"",VLOOKUP(G85,'Rating Factors'!$C:$E,3,FALSE)*AA85)</f>
        <v/>
      </c>
      <c r="AC85" s="20"/>
      <c r="AD85" s="20"/>
      <c r="AE85" s="104"/>
      <c r="AF85" s="96"/>
      <c r="AG85" s="20"/>
      <c r="AH85" s="119"/>
      <c r="AI85" s="19"/>
      <c r="AJ85" s="19"/>
      <c r="AK85" s="19"/>
      <c r="AL85" s="96"/>
      <c r="AM85" s="119"/>
      <c r="AN85" s="19"/>
      <c r="AO85" s="20"/>
      <c r="AP85" s="119"/>
      <c r="AQ85" s="115">
        <f t="shared" si="17"/>
        <v>0</v>
      </c>
      <c r="AR85" s="171">
        <f>IF(OR(Z85="",N(Z85)=0),
IF(
N(H85)+N(I85)=0,
0,
MAX(
IFERROR(VLOOKUP(AE85,'Rating Factors'!$BJ:$BK,2,FALSE),0),
((N(H85)*'Rating Factors'!$BF$2)+(N(I85)*'Rating Factors'!$BG$2))
*IFERROR(VLOOKUP(AE85,'Rating Factors'!$Z:$AA,2,FALSE),1)
*IFERROR(VLOOKUP(AJ85,'Rating Factors'!$AD:$AE,2,FALSE),1)
*IFERROR(VLOOKUP(SUM($H$8:$H$127),'Rating Factors'!$BM:$BN,2),1)
*IFERROR(VLOOKUP(SUM($I$8:$I$127),'Rating Factors'!$BH:$BI,2),1)
)
),
MAX(IFERROR(VLOOKUP(AE85,'Rating Factors'!$BJ:$BL,3,FALSE),0),
((N(I85)*'Rating Factors'!$BG$2))
*IFERROR(VLOOKUP(AE85,'Rating Factors'!$Z:$AA,2,FALSE),1)
*IFERROR(VLOOKUP(AJ85,'Rating Factors'!$AD:$AE,2,FALSE),1)
*N(AA85)* IFERROR(VLOOKUP(G85,'Rating Factors'!$C:$D,2,FALSE),1)*0.0045
))</f>
        <v>0</v>
      </c>
      <c r="AS85" s="172">
        <f t="shared" si="18"/>
        <v>0</v>
      </c>
      <c r="AT85" s="115">
        <f t="shared" si="19"/>
        <v>0</v>
      </c>
      <c r="AU85" s="173" t="str">
        <f t="shared" si="20"/>
        <v/>
      </c>
      <c r="AV85" s="174" t="str">
        <f t="shared" si="21"/>
        <v/>
      </c>
      <c r="AW85" s="119"/>
      <c r="AX85" s="141">
        <f>IF(
  OR(
    IFERROR(VLOOKUP(F85,'Rating Factors'!$A:$B,2,FALSE)="Decline",FALSE),
    IFERROR(VLOOKUP(G85,'Rating Factors'!$C:$D,2,FALSE)="Decline",FALSE),
    IFERROR(VLOOKUP(J85,'Rating Factors'!$F:$G,2,FALSE)="Decline",FALSE),
    IFERROR(VLOOKUP(K85,'Rating Factors'!$H:$I,2,FALSE)="Decline",FALSE),
    IFERROR(VLOOKUP(L85,'Rating Factors'!$J:$K,2,FALSE)="Decline",FALSE),
    IFERROR(VLOOKUP(M85,'Rating Factors'!$L:$M,2,FALSE)="Decline",FALSE),
    IFERROR(VLOOKUP(N85,'Rating Factors'!$N:$O,2,FALSE)="Decline",FALSE),
    IFERROR(VLOOKUP(O85,'Rating Factors'!$P:$Q,2,FALSE)="Decline",FALSE),
    IFERROR(VLOOKUP(P85,'Rating Factors'!$BO:$BP,2,FALSE)="Decline",FALSE),
    IFERROR(VLOOKUP(Q85,'Rating Factors'!$BQ:$BR,2,FALSE)="Decline",FALSE),
    IFERROR(VLOOKUP(R85,'Rating Factors'!$R:$S,2,FALSE)="Decline",FALSE),
    IFERROR(VLOOKUP(S85,'Rating Factors'!$T:$U,2,FALSE)="Decline",FALSE),
    IFERROR(VLOOKUP(T85,'Rating Factors'!$V:$W,2,FALSE)="Decline",FALSE),
    IFERROR(VLOOKUP(U85,'Rating Factors'!$X:$Y,2,FALSE)="Decline",FALSE),
    IFERROR(VLOOKUP(AI85,'Rating Factors'!$AB:$AC,2,FALSE)="Decline",FALSE),
    IFERROR(VLOOKUP(AK85,'Rating Factors'!$AK:$AL,2,FALSE)="Decline",FALSE),
    IFERROR(VLOOKUP(AL85,'Rating Factors'!$AP:$AQ,2,FALSE)="Decline",FALSE)
  ),
  "Declined",
  SUM(
    W85,
    X85,
    Y85*
      IFERROR(VLOOKUP(AD85,'Rating Factors'!$BS:$BT,2,FALSE),1),
    Z85*
      IFERROR(VLOOKUP(AD85,'Rating Factors'!$BS:$BT,2,FALSE),1)*
      IFERROR(VLOOKUP(AC85,'Rating Factors'!$BV:$BW,2,FALSE),1),
  )
  * IFERROR(VLOOKUP(F85,'Rating Factors'!$A:$B,2,FALSE),1)
  * IFERROR(VLOOKUP(G85,'Rating Factors'!$C:$D,2,FALSE),1)
  * IFERROR(VLOOKUP(J85,'Rating Factors'!$F:$G,2,FALSE),1)
  * IFERROR(VLOOKUP(K85,'Rating Factors'!$H:$I,2,FALSE),1)
  * IFERROR(VLOOKUP(L85,'Rating Factors'!$J:$K,2,FALSE),1)
  * IFERROR(VLOOKUP(M85,'Rating Factors'!$L:$M,2,FALSE),1)
  * IFERROR(VLOOKUP(N85,'Rating Factors'!$N:$O,2,FALSE),1)
  * IFERROR(VLOOKUP(O85,'Rating Factors'!$P:$Q,2,FALSE),1)
  * IFERROR(VLOOKUP(P85,'Rating Factors'!$BO:$BP,2,FALSE),1)
  * IFERROR(VLOOKUP(Q85,'Rating Factors'!$BQ:$BR,2,FALSE),1)
  * IFERROR(VLOOKUP(R85,'Rating Factors'!$R:$S,2,FALSE),1)
  * IFERROR(VLOOKUP(S85,'Rating Factors'!$T:$U,2,FALSE),1)
  * IFERROR(VLOOKUP(T85,'Rating Factors'!$V:$W,2,FALSE),1)
  * IFERROR(VLOOKUP(U85,'Rating Factors'!$X:$Y,2,FALSE),1)
  * IFERROR(VLOOKUP(AI85,'Rating Factors'!$AB:$AC,2,FALSE),1)
  * IFERROR(VLOOKUP(AK85,'Rating Factors'!$AK:$AL,2,FALSE),1)
  * IFERROR(VLOOKUP(AL85,'Rating Factors'!$AP:$AQ,2,FALSE),1)
  * IFERROR(LOOKUP(SUM($W$8:$Z$127),'Rating Factors'!$BD:$BD,'Rating Factors'!$BE:$BE),1))</f>
        <v>0</v>
      </c>
      <c r="AY85" s="158">
        <f>IF(OR(AQ85="Declined", AN85&lt;&gt;"Y"),
   0,
   N(AT85)*N('Rating Factors'!$AG$2)/100
)</f>
        <v>0</v>
      </c>
      <c r="AZ85" s="158">
        <f t="shared" si="22"/>
        <v>0</v>
      </c>
      <c r="BA85" s="142">
        <f>_xlfn.LET(
  _xlpm.base_ok, AND(AQ85&lt;&gt;"Declined", N(AQ85)&gt;0),
  _xlpm.is_full, EXACT(AG85, "Full Limit"),
  _xlpm.total_tiv, SUM($AT$8:$AT$127),
  _xlpm.loc_tiv, N(BE85),
  _xlpm.full_rate, N('Rating Factors'!$AO$10),
  _xlpm.min_per_loc, N('Rating Factors'!$AN$10),
  _xlpm.n_locs, N(E82),
  _xlpm.sched_prem, MAX(_xlpm.total_tiv*_xlpm.full_rate, _xlpm.min_per_loc*_xlpm.n_locs),
  _xlpm.alloc_prem, IF(_xlpm.total_tiv=0, 0, _xlpm.sched_prem * _xlpm.loc_tiv / _xlpm.total_tiv),
  _xlpm.cap_prem, IFERROR(VLOOKUP(AG85, 'Rating Factors'!$AM:$AN, 2, FALSE), 0),
  IF(_xlpm.base_ok,
     IF(_xlpm.is_full, _xlpm.alloc_prem, _xlpm.cap_prem),
     0
  )
)</f>
        <v>0</v>
      </c>
      <c r="BB85" s="143">
        <f t="shared" si="15"/>
        <v>0</v>
      </c>
      <c r="BC85" s="144">
        <f t="shared" si="23"/>
        <v>0</v>
      </c>
      <c r="BD85" s="145">
        <f t="shared" si="24"/>
        <v>0</v>
      </c>
      <c r="BE85" s="115">
        <f t="shared" si="16"/>
        <v>0</v>
      </c>
      <c r="BF85" s="106" t="str">
        <f t="shared" si="25"/>
        <v/>
      </c>
      <c r="BG85"/>
      <c r="BI85" s="67" t="str" cm="1">
        <f t="array" ref="BI85">IF(E85="","",LEFT(_xlfn.REGEXEXTRACT(UPPER(E85),"[A-Z][0-9][A-Z][ -]?[0-9][A-Z][0-9]"),3))</f>
        <v/>
      </c>
      <c r="BJ85" s="66" t="str">
        <f>IF(E85="","",_xlfn.XLOOKUP(BI85, CrestaP!B:B, CrestaP!D:D, ""))</f>
        <v/>
      </c>
      <c r="BK85" s="66" t="str">
        <f>IFERROR(
  INDEX(
    CrestaP!H4:M9,
    MATCH(J85, {"Frame","Brick Veneer","Joisted Masonry","Non-Combustible","Masonry Non-Combustible","Fire resistive"}, 0),
    MATCH(TEXT(BJ85,"@"), {"16","E5","E4","E3","E2","E1"}, 0)
  ),
  ""
)</f>
        <v/>
      </c>
    </row>
    <row r="86" spans="2:63" hidden="1" x14ac:dyDescent="0.25">
      <c r="B86"/>
      <c r="C86" s="24">
        <f t="shared" si="26"/>
        <v>79</v>
      </c>
      <c r="D86" s="25" t="s">
        <v>30</v>
      </c>
      <c r="E86" s="175"/>
      <c r="F86" s="89"/>
      <c r="G86" s="89"/>
      <c r="H86" s="104"/>
      <c r="I86" s="104"/>
      <c r="J86" s="89"/>
      <c r="K86" s="89"/>
      <c r="L86" s="89"/>
      <c r="M86" s="89"/>
      <c r="N86" s="89"/>
      <c r="O86" s="89"/>
      <c r="P86" s="104"/>
      <c r="Q86" s="104"/>
      <c r="R86" s="89"/>
      <c r="S86" s="89"/>
      <c r="T86" s="89"/>
      <c r="U86" s="25"/>
      <c r="V86" s="119"/>
      <c r="W86" s="19"/>
      <c r="X86" s="104"/>
      <c r="Y86" s="104"/>
      <c r="Z86" s="104"/>
      <c r="AA86" s="19"/>
      <c r="AB86" s="160" t="str">
        <f>IF(OR(AA86="",G86=""),"",VLOOKUP(G86,'Rating Factors'!$C:$E,3,FALSE)*AA86)</f>
        <v/>
      </c>
      <c r="AC86" s="20"/>
      <c r="AD86" s="20"/>
      <c r="AE86" s="104"/>
      <c r="AF86" s="96"/>
      <c r="AG86" s="20"/>
      <c r="AH86" s="119"/>
      <c r="AI86" s="19"/>
      <c r="AJ86" s="19"/>
      <c r="AK86" s="19"/>
      <c r="AL86" s="96"/>
      <c r="AM86" s="119"/>
      <c r="AN86" s="19"/>
      <c r="AO86" s="20"/>
      <c r="AP86" s="119"/>
      <c r="AQ86" s="115">
        <f t="shared" si="17"/>
        <v>0</v>
      </c>
      <c r="AR86" s="171">
        <f>IF(OR(Z86="",N(Z86)=0),
IF(
N(H86)+N(I86)=0,
0,
MAX(
IFERROR(VLOOKUP(AE86,'Rating Factors'!$BJ:$BK,2,FALSE),0),
((N(H86)*'Rating Factors'!$BF$2)+(N(I86)*'Rating Factors'!$BG$2))
*IFERROR(VLOOKUP(AE86,'Rating Factors'!$Z:$AA,2,FALSE),1)
*IFERROR(VLOOKUP(AJ86,'Rating Factors'!$AD:$AE,2,FALSE),1)
*IFERROR(VLOOKUP(SUM($H$8:$H$127),'Rating Factors'!$BM:$BN,2),1)
*IFERROR(VLOOKUP(SUM($I$8:$I$127),'Rating Factors'!$BH:$BI,2),1)
)
),
MAX(IFERROR(VLOOKUP(AE86,'Rating Factors'!$BJ:$BL,3,FALSE),0),
((N(I86)*'Rating Factors'!$BG$2))
*IFERROR(VLOOKUP(AE86,'Rating Factors'!$Z:$AA,2,FALSE),1)
*IFERROR(VLOOKUP(AJ86,'Rating Factors'!$AD:$AE,2,FALSE),1)
*N(AA86)* IFERROR(VLOOKUP(G86,'Rating Factors'!$C:$D,2,FALSE),1)*0.0045
))</f>
        <v>0</v>
      </c>
      <c r="AS86" s="172">
        <f t="shared" si="18"/>
        <v>0</v>
      </c>
      <c r="AT86" s="115">
        <f t="shared" si="19"/>
        <v>0</v>
      </c>
      <c r="AU86" s="173" t="str">
        <f t="shared" si="20"/>
        <v/>
      </c>
      <c r="AV86" s="174" t="str">
        <f t="shared" si="21"/>
        <v/>
      </c>
      <c r="AW86" s="119"/>
      <c r="AX86" s="141">
        <f>IF(
  OR(
    IFERROR(VLOOKUP(F86,'Rating Factors'!$A:$B,2,FALSE)="Decline",FALSE),
    IFERROR(VLOOKUP(G86,'Rating Factors'!$C:$D,2,FALSE)="Decline",FALSE),
    IFERROR(VLOOKUP(J86,'Rating Factors'!$F:$G,2,FALSE)="Decline",FALSE),
    IFERROR(VLOOKUP(K86,'Rating Factors'!$H:$I,2,FALSE)="Decline",FALSE),
    IFERROR(VLOOKUP(L86,'Rating Factors'!$J:$K,2,FALSE)="Decline",FALSE),
    IFERROR(VLOOKUP(M86,'Rating Factors'!$L:$M,2,FALSE)="Decline",FALSE),
    IFERROR(VLOOKUP(N86,'Rating Factors'!$N:$O,2,FALSE)="Decline",FALSE),
    IFERROR(VLOOKUP(O86,'Rating Factors'!$P:$Q,2,FALSE)="Decline",FALSE),
    IFERROR(VLOOKUP(P86,'Rating Factors'!$BO:$BP,2,FALSE)="Decline",FALSE),
    IFERROR(VLOOKUP(Q86,'Rating Factors'!$BQ:$BR,2,FALSE)="Decline",FALSE),
    IFERROR(VLOOKUP(R86,'Rating Factors'!$R:$S,2,FALSE)="Decline",FALSE),
    IFERROR(VLOOKUP(S86,'Rating Factors'!$T:$U,2,FALSE)="Decline",FALSE),
    IFERROR(VLOOKUP(T86,'Rating Factors'!$V:$W,2,FALSE)="Decline",FALSE),
    IFERROR(VLOOKUP(U86,'Rating Factors'!$X:$Y,2,FALSE)="Decline",FALSE),
    IFERROR(VLOOKUP(AI86,'Rating Factors'!$AB:$AC,2,FALSE)="Decline",FALSE),
    IFERROR(VLOOKUP(AK86,'Rating Factors'!$AK:$AL,2,FALSE)="Decline",FALSE),
    IFERROR(VLOOKUP(AL86,'Rating Factors'!$AP:$AQ,2,FALSE)="Decline",FALSE)
  ),
  "Declined",
  SUM(
    W86,
    X86,
    Y86*
      IFERROR(VLOOKUP(AD86,'Rating Factors'!$BS:$BT,2,FALSE),1),
    Z86*
      IFERROR(VLOOKUP(AD86,'Rating Factors'!$BS:$BT,2,FALSE),1)*
      IFERROR(VLOOKUP(AC86,'Rating Factors'!$BV:$BW,2,FALSE),1),
  )
  * IFERROR(VLOOKUP(F86,'Rating Factors'!$A:$B,2,FALSE),1)
  * IFERROR(VLOOKUP(G86,'Rating Factors'!$C:$D,2,FALSE),1)
  * IFERROR(VLOOKUP(J86,'Rating Factors'!$F:$G,2,FALSE),1)
  * IFERROR(VLOOKUP(K86,'Rating Factors'!$H:$I,2,FALSE),1)
  * IFERROR(VLOOKUP(L86,'Rating Factors'!$J:$K,2,FALSE),1)
  * IFERROR(VLOOKUP(M86,'Rating Factors'!$L:$M,2,FALSE),1)
  * IFERROR(VLOOKUP(N86,'Rating Factors'!$N:$O,2,FALSE),1)
  * IFERROR(VLOOKUP(O86,'Rating Factors'!$P:$Q,2,FALSE),1)
  * IFERROR(VLOOKUP(P86,'Rating Factors'!$BO:$BP,2,FALSE),1)
  * IFERROR(VLOOKUP(Q86,'Rating Factors'!$BQ:$BR,2,FALSE),1)
  * IFERROR(VLOOKUP(R86,'Rating Factors'!$R:$S,2,FALSE),1)
  * IFERROR(VLOOKUP(S86,'Rating Factors'!$T:$U,2,FALSE),1)
  * IFERROR(VLOOKUP(T86,'Rating Factors'!$V:$W,2,FALSE),1)
  * IFERROR(VLOOKUP(U86,'Rating Factors'!$X:$Y,2,FALSE),1)
  * IFERROR(VLOOKUP(AI86,'Rating Factors'!$AB:$AC,2,FALSE),1)
  * IFERROR(VLOOKUP(AK86,'Rating Factors'!$AK:$AL,2,FALSE),1)
  * IFERROR(VLOOKUP(AL86,'Rating Factors'!$AP:$AQ,2,FALSE),1)
  * IFERROR(LOOKUP(SUM($W$8:$Z$127),'Rating Factors'!$BD:$BD,'Rating Factors'!$BE:$BE),1))</f>
        <v>0</v>
      </c>
      <c r="AY86" s="158">
        <f>IF(OR(AQ86="Declined", AN86&lt;&gt;"Y"),
   0,
   N(AT86)*N('Rating Factors'!$AG$2)/100
)</f>
        <v>0</v>
      </c>
      <c r="AZ86" s="158">
        <f t="shared" si="22"/>
        <v>0</v>
      </c>
      <c r="BA86" s="142">
        <f>_xlfn.LET(
  _xlpm.base_ok, AND(AQ86&lt;&gt;"Declined", N(AQ86)&gt;0),
  _xlpm.is_full, EXACT(AG86, "Full Limit"),
  _xlpm.total_tiv, SUM($AT$8:$AT$127),
  _xlpm.loc_tiv, N(BE86),
  _xlpm.full_rate, N('Rating Factors'!$AO$10),
  _xlpm.min_per_loc, N('Rating Factors'!$AN$10),
  _xlpm.n_locs, N(E83),
  _xlpm.sched_prem, MAX(_xlpm.total_tiv*_xlpm.full_rate, _xlpm.min_per_loc*_xlpm.n_locs),
  _xlpm.alloc_prem, IF(_xlpm.total_tiv=0, 0, _xlpm.sched_prem * _xlpm.loc_tiv / _xlpm.total_tiv),
  _xlpm.cap_prem, IFERROR(VLOOKUP(AG86, 'Rating Factors'!$AM:$AN, 2, FALSE), 0),
  IF(_xlpm.base_ok,
     IF(_xlpm.is_full, _xlpm.alloc_prem, _xlpm.cap_prem),
     0
  )
)</f>
        <v>0</v>
      </c>
      <c r="BB86" s="143">
        <f t="shared" si="15"/>
        <v>0</v>
      </c>
      <c r="BC86" s="144">
        <f t="shared" si="23"/>
        <v>0</v>
      </c>
      <c r="BD86" s="145">
        <f t="shared" si="24"/>
        <v>0</v>
      </c>
      <c r="BE86" s="115">
        <f t="shared" si="16"/>
        <v>0</v>
      </c>
      <c r="BF86" s="106" t="str">
        <f t="shared" si="25"/>
        <v/>
      </c>
      <c r="BG86"/>
      <c r="BI86" s="67" t="str" cm="1">
        <f t="array" ref="BI86">IF(E86="","",LEFT(_xlfn.REGEXEXTRACT(UPPER(E86),"[A-Z][0-9][A-Z][ -]?[0-9][A-Z][0-9]"),3))</f>
        <v/>
      </c>
      <c r="BJ86" s="66" t="str">
        <f>IF(E86="","",_xlfn.XLOOKUP(BI86, CrestaP!B:B, CrestaP!D:D, ""))</f>
        <v/>
      </c>
      <c r="BK86" s="66" t="str">
        <f>IFERROR(
  INDEX(
    CrestaP!H4:M9,
    MATCH(J86, {"Frame","Brick Veneer","Joisted Masonry","Non-Combustible","Masonry Non-Combustible","Fire resistive"}, 0),
    MATCH(TEXT(BJ86,"@"), {"16","E5","E4","E3","E2","E1"}, 0)
  ),
  ""
)</f>
        <v/>
      </c>
    </row>
    <row r="87" spans="2:63" hidden="1" x14ac:dyDescent="0.25">
      <c r="B87"/>
      <c r="C87" s="24">
        <f t="shared" si="26"/>
        <v>80</v>
      </c>
      <c r="D87" s="25" t="s">
        <v>30</v>
      </c>
      <c r="E87" s="175"/>
      <c r="F87" s="89"/>
      <c r="G87" s="89"/>
      <c r="H87" s="104"/>
      <c r="I87" s="104"/>
      <c r="J87" s="89"/>
      <c r="K87" s="89"/>
      <c r="L87" s="89"/>
      <c r="M87" s="89"/>
      <c r="N87" s="89"/>
      <c r="O87" s="89"/>
      <c r="P87" s="104"/>
      <c r="Q87" s="104"/>
      <c r="R87" s="89"/>
      <c r="S87" s="89"/>
      <c r="T87" s="89"/>
      <c r="U87" s="25"/>
      <c r="V87" s="119"/>
      <c r="W87" s="19"/>
      <c r="X87" s="104"/>
      <c r="Y87" s="104"/>
      <c r="Z87" s="104"/>
      <c r="AA87" s="19"/>
      <c r="AB87" s="160" t="str">
        <f>IF(OR(AA87="",G87=""),"",VLOOKUP(G87,'Rating Factors'!$C:$E,3,FALSE)*AA87)</f>
        <v/>
      </c>
      <c r="AC87" s="20"/>
      <c r="AD87" s="20"/>
      <c r="AE87" s="104"/>
      <c r="AF87" s="96"/>
      <c r="AG87" s="20"/>
      <c r="AH87" s="119"/>
      <c r="AI87" s="19"/>
      <c r="AJ87" s="19"/>
      <c r="AK87" s="19"/>
      <c r="AL87" s="96"/>
      <c r="AM87" s="119"/>
      <c r="AN87" s="19"/>
      <c r="AO87" s="20"/>
      <c r="AP87" s="119"/>
      <c r="AQ87" s="115">
        <f t="shared" si="17"/>
        <v>0</v>
      </c>
      <c r="AR87" s="171">
        <f>IF(OR(Z87="",N(Z87)=0),
IF(
N(H87)+N(I87)=0,
0,
MAX(
IFERROR(VLOOKUP(AE87,'Rating Factors'!$BJ:$BK,2,FALSE),0),
((N(H87)*'Rating Factors'!$BF$2)+(N(I87)*'Rating Factors'!$BG$2))
*IFERROR(VLOOKUP(AE87,'Rating Factors'!$Z:$AA,2,FALSE),1)
*IFERROR(VLOOKUP(AJ87,'Rating Factors'!$AD:$AE,2,FALSE),1)
*IFERROR(VLOOKUP(SUM($H$8:$H$127),'Rating Factors'!$BM:$BN,2),1)
*IFERROR(VLOOKUP(SUM($I$8:$I$127),'Rating Factors'!$BH:$BI,2),1)
)
),
MAX(IFERROR(VLOOKUP(AE87,'Rating Factors'!$BJ:$BL,3,FALSE),0),
((N(I87)*'Rating Factors'!$BG$2))
*IFERROR(VLOOKUP(AE87,'Rating Factors'!$Z:$AA,2,FALSE),1)
*IFERROR(VLOOKUP(AJ87,'Rating Factors'!$AD:$AE,2,FALSE),1)
*N(AA87)* IFERROR(VLOOKUP(G87,'Rating Factors'!$C:$D,2,FALSE),1)*0.0045
))</f>
        <v>0</v>
      </c>
      <c r="AS87" s="172">
        <f t="shared" si="18"/>
        <v>0</v>
      </c>
      <c r="AT87" s="115">
        <f t="shared" si="19"/>
        <v>0</v>
      </c>
      <c r="AU87" s="173" t="str">
        <f t="shared" si="20"/>
        <v/>
      </c>
      <c r="AV87" s="174" t="str">
        <f t="shared" si="21"/>
        <v/>
      </c>
      <c r="AW87" s="119"/>
      <c r="AX87" s="141">
        <f>IF(
  OR(
    IFERROR(VLOOKUP(F87,'Rating Factors'!$A:$B,2,FALSE)="Decline",FALSE),
    IFERROR(VLOOKUP(G87,'Rating Factors'!$C:$D,2,FALSE)="Decline",FALSE),
    IFERROR(VLOOKUP(J87,'Rating Factors'!$F:$G,2,FALSE)="Decline",FALSE),
    IFERROR(VLOOKUP(K87,'Rating Factors'!$H:$I,2,FALSE)="Decline",FALSE),
    IFERROR(VLOOKUP(L87,'Rating Factors'!$J:$K,2,FALSE)="Decline",FALSE),
    IFERROR(VLOOKUP(M87,'Rating Factors'!$L:$M,2,FALSE)="Decline",FALSE),
    IFERROR(VLOOKUP(N87,'Rating Factors'!$N:$O,2,FALSE)="Decline",FALSE),
    IFERROR(VLOOKUP(O87,'Rating Factors'!$P:$Q,2,FALSE)="Decline",FALSE),
    IFERROR(VLOOKUP(P87,'Rating Factors'!$BO:$BP,2,FALSE)="Decline",FALSE),
    IFERROR(VLOOKUP(Q87,'Rating Factors'!$BQ:$BR,2,FALSE)="Decline",FALSE),
    IFERROR(VLOOKUP(R87,'Rating Factors'!$R:$S,2,FALSE)="Decline",FALSE),
    IFERROR(VLOOKUP(S87,'Rating Factors'!$T:$U,2,FALSE)="Decline",FALSE),
    IFERROR(VLOOKUP(T87,'Rating Factors'!$V:$W,2,FALSE)="Decline",FALSE),
    IFERROR(VLOOKUP(U87,'Rating Factors'!$X:$Y,2,FALSE)="Decline",FALSE),
    IFERROR(VLOOKUP(AI87,'Rating Factors'!$AB:$AC,2,FALSE)="Decline",FALSE),
    IFERROR(VLOOKUP(AK87,'Rating Factors'!$AK:$AL,2,FALSE)="Decline",FALSE),
    IFERROR(VLOOKUP(AL87,'Rating Factors'!$AP:$AQ,2,FALSE)="Decline",FALSE)
  ),
  "Declined",
  SUM(
    W87,
    X87,
    Y87*
      IFERROR(VLOOKUP(AD87,'Rating Factors'!$BS:$BT,2,FALSE),1),
    Z87*
      IFERROR(VLOOKUP(AD87,'Rating Factors'!$BS:$BT,2,FALSE),1)*
      IFERROR(VLOOKUP(AC87,'Rating Factors'!$BV:$BW,2,FALSE),1),
  )
  * IFERROR(VLOOKUP(F87,'Rating Factors'!$A:$B,2,FALSE),1)
  * IFERROR(VLOOKUP(G87,'Rating Factors'!$C:$D,2,FALSE),1)
  * IFERROR(VLOOKUP(J87,'Rating Factors'!$F:$G,2,FALSE),1)
  * IFERROR(VLOOKUP(K87,'Rating Factors'!$H:$I,2,FALSE),1)
  * IFERROR(VLOOKUP(L87,'Rating Factors'!$J:$K,2,FALSE),1)
  * IFERROR(VLOOKUP(M87,'Rating Factors'!$L:$M,2,FALSE),1)
  * IFERROR(VLOOKUP(N87,'Rating Factors'!$N:$O,2,FALSE),1)
  * IFERROR(VLOOKUP(O87,'Rating Factors'!$P:$Q,2,FALSE),1)
  * IFERROR(VLOOKUP(P87,'Rating Factors'!$BO:$BP,2,FALSE),1)
  * IFERROR(VLOOKUP(Q87,'Rating Factors'!$BQ:$BR,2,FALSE),1)
  * IFERROR(VLOOKUP(R87,'Rating Factors'!$R:$S,2,FALSE),1)
  * IFERROR(VLOOKUP(S87,'Rating Factors'!$T:$U,2,FALSE),1)
  * IFERROR(VLOOKUP(T87,'Rating Factors'!$V:$W,2,FALSE),1)
  * IFERROR(VLOOKUP(U87,'Rating Factors'!$X:$Y,2,FALSE),1)
  * IFERROR(VLOOKUP(AI87,'Rating Factors'!$AB:$AC,2,FALSE),1)
  * IFERROR(VLOOKUP(AK87,'Rating Factors'!$AK:$AL,2,FALSE),1)
  * IFERROR(VLOOKUP(AL87,'Rating Factors'!$AP:$AQ,2,FALSE),1)
  * IFERROR(LOOKUP(SUM($W$8:$Z$127),'Rating Factors'!$BD:$BD,'Rating Factors'!$BE:$BE),1))</f>
        <v>0</v>
      </c>
      <c r="AY87" s="158">
        <f>IF(OR(AQ87="Declined", AN87&lt;&gt;"Y"),
   0,
   N(AT87)*N('Rating Factors'!$AG$2)/100
)</f>
        <v>0</v>
      </c>
      <c r="AZ87" s="158">
        <f t="shared" si="22"/>
        <v>0</v>
      </c>
      <c r="BA87" s="142">
        <f>_xlfn.LET(
  _xlpm.base_ok, AND(AQ87&lt;&gt;"Declined", N(AQ87)&gt;0),
  _xlpm.is_full, EXACT(AG87, "Full Limit"),
  _xlpm.total_tiv, SUM($AT$8:$AT$127),
  _xlpm.loc_tiv, N(BE87),
  _xlpm.full_rate, N('Rating Factors'!$AO$10),
  _xlpm.min_per_loc, N('Rating Factors'!$AN$10),
  _xlpm.n_locs, N(E84),
  _xlpm.sched_prem, MAX(_xlpm.total_tiv*_xlpm.full_rate, _xlpm.min_per_loc*_xlpm.n_locs),
  _xlpm.alloc_prem, IF(_xlpm.total_tiv=0, 0, _xlpm.sched_prem * _xlpm.loc_tiv / _xlpm.total_tiv),
  _xlpm.cap_prem, IFERROR(VLOOKUP(AG87, 'Rating Factors'!$AM:$AN, 2, FALSE), 0),
  IF(_xlpm.base_ok,
     IF(_xlpm.is_full, _xlpm.alloc_prem, _xlpm.cap_prem),
     0
  )
)</f>
        <v>0</v>
      </c>
      <c r="BB87" s="143">
        <f t="shared" si="15"/>
        <v>0</v>
      </c>
      <c r="BC87" s="144">
        <f t="shared" si="23"/>
        <v>0</v>
      </c>
      <c r="BD87" s="145">
        <f t="shared" si="24"/>
        <v>0</v>
      </c>
      <c r="BE87" s="115">
        <f t="shared" si="16"/>
        <v>0</v>
      </c>
      <c r="BF87" s="106" t="str">
        <f t="shared" si="25"/>
        <v/>
      </c>
      <c r="BG87"/>
      <c r="BI87" s="67" t="str" cm="1">
        <f t="array" ref="BI87">IF(E87="","",LEFT(_xlfn.REGEXEXTRACT(UPPER(E87),"[A-Z][0-9][A-Z][ -]?[0-9][A-Z][0-9]"),3))</f>
        <v/>
      </c>
      <c r="BJ87" s="66" t="str">
        <f>IF(E87="","",_xlfn.XLOOKUP(BI87, CrestaP!B:B, CrestaP!D:D, ""))</f>
        <v/>
      </c>
      <c r="BK87" s="66" t="str">
        <f>IFERROR(
  INDEX(
    CrestaP!H4:M9,
    MATCH(J87, {"Frame","Brick Veneer","Joisted Masonry","Non-Combustible","Masonry Non-Combustible","Fire resistive"}, 0),
    MATCH(TEXT(BJ87,"@"), {"16","E5","E4","E3","E2","E1"}, 0)
  ),
  ""
)</f>
        <v/>
      </c>
    </row>
    <row r="88" spans="2:63" hidden="1" x14ac:dyDescent="0.25">
      <c r="B88"/>
      <c r="C88" s="24">
        <f t="shared" si="26"/>
        <v>81</v>
      </c>
      <c r="D88" s="25" t="s">
        <v>30</v>
      </c>
      <c r="E88" s="175"/>
      <c r="F88" s="89"/>
      <c r="G88" s="89"/>
      <c r="H88" s="104"/>
      <c r="I88" s="104"/>
      <c r="J88" s="89"/>
      <c r="K88" s="89"/>
      <c r="L88" s="89"/>
      <c r="M88" s="89"/>
      <c r="N88" s="89"/>
      <c r="O88" s="89"/>
      <c r="P88" s="104"/>
      <c r="Q88" s="104"/>
      <c r="R88" s="89"/>
      <c r="S88" s="89"/>
      <c r="T88" s="89"/>
      <c r="U88" s="25"/>
      <c r="V88" s="119"/>
      <c r="W88" s="19"/>
      <c r="X88" s="104"/>
      <c r="Y88" s="104"/>
      <c r="Z88" s="104"/>
      <c r="AA88" s="19"/>
      <c r="AB88" s="160" t="str">
        <f>IF(OR(AA88="",G88=""),"",VLOOKUP(G88,'Rating Factors'!$C:$E,3,FALSE)*AA88)</f>
        <v/>
      </c>
      <c r="AC88" s="20"/>
      <c r="AD88" s="20"/>
      <c r="AE88" s="104"/>
      <c r="AF88" s="96"/>
      <c r="AG88" s="20"/>
      <c r="AH88" s="119"/>
      <c r="AI88" s="19"/>
      <c r="AJ88" s="19"/>
      <c r="AK88" s="19"/>
      <c r="AL88" s="96"/>
      <c r="AM88" s="119"/>
      <c r="AN88" s="19"/>
      <c r="AO88" s="20"/>
      <c r="AP88" s="119"/>
      <c r="AQ88" s="115">
        <f t="shared" si="17"/>
        <v>0</v>
      </c>
      <c r="AR88" s="171">
        <f>IF(OR(Z88="",N(Z88)=0),
IF(
N(H88)+N(I88)=0,
0,
MAX(
IFERROR(VLOOKUP(AE88,'Rating Factors'!$BJ:$BK,2,FALSE),0),
((N(H88)*'Rating Factors'!$BF$2)+(N(I88)*'Rating Factors'!$BG$2))
*IFERROR(VLOOKUP(AE88,'Rating Factors'!$Z:$AA,2,FALSE),1)
*IFERROR(VLOOKUP(AJ88,'Rating Factors'!$AD:$AE,2,FALSE),1)
*IFERROR(VLOOKUP(SUM($H$8:$H$127),'Rating Factors'!$BM:$BN,2),1)
*IFERROR(VLOOKUP(SUM($I$8:$I$127),'Rating Factors'!$BH:$BI,2),1)
)
),
MAX(IFERROR(VLOOKUP(AE88,'Rating Factors'!$BJ:$BL,3,FALSE),0),
((N(I88)*'Rating Factors'!$BG$2))
*IFERROR(VLOOKUP(AE88,'Rating Factors'!$Z:$AA,2,FALSE),1)
*IFERROR(VLOOKUP(AJ88,'Rating Factors'!$AD:$AE,2,FALSE),1)
*N(AA88)* IFERROR(VLOOKUP(G88,'Rating Factors'!$C:$D,2,FALSE),1)*0.0045
))</f>
        <v>0</v>
      </c>
      <c r="AS88" s="172">
        <f t="shared" si="18"/>
        <v>0</v>
      </c>
      <c r="AT88" s="115">
        <f t="shared" si="19"/>
        <v>0</v>
      </c>
      <c r="AU88" s="173" t="str">
        <f t="shared" si="20"/>
        <v/>
      </c>
      <c r="AV88" s="174" t="str">
        <f t="shared" si="21"/>
        <v/>
      </c>
      <c r="AW88" s="119"/>
      <c r="AX88" s="141">
        <f>IF(
  OR(
    IFERROR(VLOOKUP(F88,'Rating Factors'!$A:$B,2,FALSE)="Decline",FALSE),
    IFERROR(VLOOKUP(G88,'Rating Factors'!$C:$D,2,FALSE)="Decline",FALSE),
    IFERROR(VLOOKUP(J88,'Rating Factors'!$F:$G,2,FALSE)="Decline",FALSE),
    IFERROR(VLOOKUP(K88,'Rating Factors'!$H:$I,2,FALSE)="Decline",FALSE),
    IFERROR(VLOOKUP(L88,'Rating Factors'!$J:$K,2,FALSE)="Decline",FALSE),
    IFERROR(VLOOKUP(M88,'Rating Factors'!$L:$M,2,FALSE)="Decline",FALSE),
    IFERROR(VLOOKUP(N88,'Rating Factors'!$N:$O,2,FALSE)="Decline",FALSE),
    IFERROR(VLOOKUP(O88,'Rating Factors'!$P:$Q,2,FALSE)="Decline",FALSE),
    IFERROR(VLOOKUP(P88,'Rating Factors'!$BO:$BP,2,FALSE)="Decline",FALSE),
    IFERROR(VLOOKUP(Q88,'Rating Factors'!$BQ:$BR,2,FALSE)="Decline",FALSE),
    IFERROR(VLOOKUP(R88,'Rating Factors'!$R:$S,2,FALSE)="Decline",FALSE),
    IFERROR(VLOOKUP(S88,'Rating Factors'!$T:$U,2,FALSE)="Decline",FALSE),
    IFERROR(VLOOKUP(T88,'Rating Factors'!$V:$W,2,FALSE)="Decline",FALSE),
    IFERROR(VLOOKUP(U88,'Rating Factors'!$X:$Y,2,FALSE)="Decline",FALSE),
    IFERROR(VLOOKUP(AI88,'Rating Factors'!$AB:$AC,2,FALSE)="Decline",FALSE),
    IFERROR(VLOOKUP(AK88,'Rating Factors'!$AK:$AL,2,FALSE)="Decline",FALSE),
    IFERROR(VLOOKUP(AL88,'Rating Factors'!$AP:$AQ,2,FALSE)="Decline",FALSE)
  ),
  "Declined",
  SUM(
    W88,
    X88,
    Y88*
      IFERROR(VLOOKUP(AD88,'Rating Factors'!$BS:$BT,2,FALSE),1),
    Z88*
      IFERROR(VLOOKUP(AD88,'Rating Factors'!$BS:$BT,2,FALSE),1)*
      IFERROR(VLOOKUP(AC88,'Rating Factors'!$BV:$BW,2,FALSE),1),
  )
  * IFERROR(VLOOKUP(F88,'Rating Factors'!$A:$B,2,FALSE),1)
  * IFERROR(VLOOKUP(G88,'Rating Factors'!$C:$D,2,FALSE),1)
  * IFERROR(VLOOKUP(J88,'Rating Factors'!$F:$G,2,FALSE),1)
  * IFERROR(VLOOKUP(K88,'Rating Factors'!$H:$I,2,FALSE),1)
  * IFERROR(VLOOKUP(L88,'Rating Factors'!$J:$K,2,FALSE),1)
  * IFERROR(VLOOKUP(M88,'Rating Factors'!$L:$M,2,FALSE),1)
  * IFERROR(VLOOKUP(N88,'Rating Factors'!$N:$O,2,FALSE),1)
  * IFERROR(VLOOKUP(O88,'Rating Factors'!$P:$Q,2,FALSE),1)
  * IFERROR(VLOOKUP(P88,'Rating Factors'!$BO:$BP,2,FALSE),1)
  * IFERROR(VLOOKUP(Q88,'Rating Factors'!$BQ:$BR,2,FALSE),1)
  * IFERROR(VLOOKUP(R88,'Rating Factors'!$R:$S,2,FALSE),1)
  * IFERROR(VLOOKUP(S88,'Rating Factors'!$T:$U,2,FALSE),1)
  * IFERROR(VLOOKUP(T88,'Rating Factors'!$V:$W,2,FALSE),1)
  * IFERROR(VLOOKUP(U88,'Rating Factors'!$X:$Y,2,FALSE),1)
  * IFERROR(VLOOKUP(AI88,'Rating Factors'!$AB:$AC,2,FALSE),1)
  * IFERROR(VLOOKUP(AK88,'Rating Factors'!$AK:$AL,2,FALSE),1)
  * IFERROR(VLOOKUP(AL88,'Rating Factors'!$AP:$AQ,2,FALSE),1)
  * IFERROR(LOOKUP(SUM($W$8:$Z$127),'Rating Factors'!$BD:$BD,'Rating Factors'!$BE:$BE),1))</f>
        <v>0</v>
      </c>
      <c r="AY88" s="158">
        <f>IF(OR(AQ88="Declined", AN88&lt;&gt;"Y"),
   0,
   N(AT88)*N('Rating Factors'!$AG$2)/100
)</f>
        <v>0</v>
      </c>
      <c r="AZ88" s="158">
        <f t="shared" si="22"/>
        <v>0</v>
      </c>
      <c r="BA88" s="142">
        <f>_xlfn.LET(
  _xlpm.base_ok, AND(AQ88&lt;&gt;"Declined", N(AQ88)&gt;0),
  _xlpm.is_full, EXACT(AG88, "Full Limit"),
  _xlpm.total_tiv, SUM($AT$8:$AT$127),
  _xlpm.loc_tiv, N(BE88),
  _xlpm.full_rate, N('Rating Factors'!$AO$10),
  _xlpm.min_per_loc, N('Rating Factors'!$AN$10),
  _xlpm.n_locs, N(E85),
  _xlpm.sched_prem, MAX(_xlpm.total_tiv*_xlpm.full_rate, _xlpm.min_per_loc*_xlpm.n_locs),
  _xlpm.alloc_prem, IF(_xlpm.total_tiv=0, 0, _xlpm.sched_prem * _xlpm.loc_tiv / _xlpm.total_tiv),
  _xlpm.cap_prem, IFERROR(VLOOKUP(AG88, 'Rating Factors'!$AM:$AN, 2, FALSE), 0),
  IF(_xlpm.base_ok,
     IF(_xlpm.is_full, _xlpm.alloc_prem, _xlpm.cap_prem),
     0
  )
)</f>
        <v>0</v>
      </c>
      <c r="BB88" s="143">
        <f t="shared" si="15"/>
        <v>0</v>
      </c>
      <c r="BC88" s="144">
        <f t="shared" si="23"/>
        <v>0</v>
      </c>
      <c r="BD88" s="145">
        <f t="shared" si="24"/>
        <v>0</v>
      </c>
      <c r="BE88" s="115">
        <f t="shared" si="16"/>
        <v>0</v>
      </c>
      <c r="BF88" s="106" t="str">
        <f t="shared" si="25"/>
        <v/>
      </c>
      <c r="BG88"/>
      <c r="BI88" s="67" t="str" cm="1">
        <f t="array" ref="BI88">IF(E88="","",LEFT(_xlfn.REGEXEXTRACT(UPPER(E88),"[A-Z][0-9][A-Z][ -]?[0-9][A-Z][0-9]"),3))</f>
        <v/>
      </c>
      <c r="BJ88" s="66" t="str">
        <f>IF(E88="","",_xlfn.XLOOKUP(BI88, CrestaP!B:B, CrestaP!D:D, ""))</f>
        <v/>
      </c>
      <c r="BK88" s="66" t="str">
        <f>IFERROR(
  INDEX(
    CrestaP!H4:M9,
    MATCH(J88, {"Frame","Brick Veneer","Joisted Masonry","Non-Combustible","Masonry Non-Combustible","Fire resistive"}, 0),
    MATCH(TEXT(BJ88,"@"), {"16","E5","E4","E3","E2","E1"}, 0)
  ),
  ""
)</f>
        <v/>
      </c>
    </row>
    <row r="89" spans="2:63" hidden="1" x14ac:dyDescent="0.25">
      <c r="B89"/>
      <c r="C89" s="24">
        <f t="shared" si="26"/>
        <v>82</v>
      </c>
      <c r="D89" s="25" t="s">
        <v>30</v>
      </c>
      <c r="E89" s="175"/>
      <c r="F89" s="89"/>
      <c r="G89" s="89"/>
      <c r="H89" s="104"/>
      <c r="I89" s="104"/>
      <c r="J89" s="89"/>
      <c r="K89" s="89"/>
      <c r="L89" s="89"/>
      <c r="M89" s="89"/>
      <c r="N89" s="89"/>
      <c r="O89" s="89"/>
      <c r="P89" s="104"/>
      <c r="Q89" s="104"/>
      <c r="R89" s="89"/>
      <c r="S89" s="89"/>
      <c r="T89" s="89"/>
      <c r="U89" s="25"/>
      <c r="V89" s="119"/>
      <c r="W89" s="19"/>
      <c r="X89" s="104"/>
      <c r="Y89" s="104"/>
      <c r="Z89" s="104"/>
      <c r="AA89" s="19"/>
      <c r="AB89" s="160" t="str">
        <f>IF(OR(AA89="",G89=""),"",VLOOKUP(G89,'Rating Factors'!$C:$E,3,FALSE)*AA89)</f>
        <v/>
      </c>
      <c r="AC89" s="20"/>
      <c r="AD89" s="20"/>
      <c r="AE89" s="104"/>
      <c r="AF89" s="96"/>
      <c r="AG89" s="20"/>
      <c r="AH89" s="119"/>
      <c r="AI89" s="19"/>
      <c r="AJ89" s="19"/>
      <c r="AK89" s="19"/>
      <c r="AL89" s="96"/>
      <c r="AM89" s="119"/>
      <c r="AN89" s="19"/>
      <c r="AO89" s="20"/>
      <c r="AP89" s="119"/>
      <c r="AQ89" s="115">
        <f t="shared" si="17"/>
        <v>0</v>
      </c>
      <c r="AR89" s="171">
        <f>IF(OR(Z89="",N(Z89)=0),
IF(
N(H89)+N(I89)=0,
0,
MAX(
IFERROR(VLOOKUP(AE89,'Rating Factors'!$BJ:$BK,2,FALSE),0),
((N(H89)*'Rating Factors'!$BF$2)+(N(I89)*'Rating Factors'!$BG$2))
*IFERROR(VLOOKUP(AE89,'Rating Factors'!$Z:$AA,2,FALSE),1)
*IFERROR(VLOOKUP(AJ89,'Rating Factors'!$AD:$AE,2,FALSE),1)
*IFERROR(VLOOKUP(SUM($H$8:$H$127),'Rating Factors'!$BM:$BN,2),1)
*IFERROR(VLOOKUP(SUM($I$8:$I$127),'Rating Factors'!$BH:$BI,2),1)
)
),
MAX(IFERROR(VLOOKUP(AE89,'Rating Factors'!$BJ:$BL,3,FALSE),0),
((N(I89)*'Rating Factors'!$BG$2))
*IFERROR(VLOOKUP(AE89,'Rating Factors'!$Z:$AA,2,FALSE),1)
*IFERROR(VLOOKUP(AJ89,'Rating Factors'!$AD:$AE,2,FALSE),1)
*N(AA89)* IFERROR(VLOOKUP(G89,'Rating Factors'!$C:$D,2,FALSE),1)*0.0045
))</f>
        <v>0</v>
      </c>
      <c r="AS89" s="172">
        <f t="shared" si="18"/>
        <v>0</v>
      </c>
      <c r="AT89" s="115">
        <f t="shared" si="19"/>
        <v>0</v>
      </c>
      <c r="AU89" s="173" t="str">
        <f t="shared" si="20"/>
        <v/>
      </c>
      <c r="AV89" s="174" t="str">
        <f t="shared" si="21"/>
        <v/>
      </c>
      <c r="AW89" s="119"/>
      <c r="AX89" s="141">
        <f>IF(
  OR(
    IFERROR(VLOOKUP(F89,'Rating Factors'!$A:$B,2,FALSE)="Decline",FALSE),
    IFERROR(VLOOKUP(G89,'Rating Factors'!$C:$D,2,FALSE)="Decline",FALSE),
    IFERROR(VLOOKUP(J89,'Rating Factors'!$F:$G,2,FALSE)="Decline",FALSE),
    IFERROR(VLOOKUP(K89,'Rating Factors'!$H:$I,2,FALSE)="Decline",FALSE),
    IFERROR(VLOOKUP(L89,'Rating Factors'!$J:$K,2,FALSE)="Decline",FALSE),
    IFERROR(VLOOKUP(M89,'Rating Factors'!$L:$M,2,FALSE)="Decline",FALSE),
    IFERROR(VLOOKUP(N89,'Rating Factors'!$N:$O,2,FALSE)="Decline",FALSE),
    IFERROR(VLOOKUP(O89,'Rating Factors'!$P:$Q,2,FALSE)="Decline",FALSE),
    IFERROR(VLOOKUP(P89,'Rating Factors'!$BO:$BP,2,FALSE)="Decline",FALSE),
    IFERROR(VLOOKUP(Q89,'Rating Factors'!$BQ:$BR,2,FALSE)="Decline",FALSE),
    IFERROR(VLOOKUP(R89,'Rating Factors'!$R:$S,2,FALSE)="Decline",FALSE),
    IFERROR(VLOOKUP(S89,'Rating Factors'!$T:$U,2,FALSE)="Decline",FALSE),
    IFERROR(VLOOKUP(T89,'Rating Factors'!$V:$W,2,FALSE)="Decline",FALSE),
    IFERROR(VLOOKUP(U89,'Rating Factors'!$X:$Y,2,FALSE)="Decline",FALSE),
    IFERROR(VLOOKUP(AI89,'Rating Factors'!$AB:$AC,2,FALSE)="Decline",FALSE),
    IFERROR(VLOOKUP(AK89,'Rating Factors'!$AK:$AL,2,FALSE)="Decline",FALSE),
    IFERROR(VLOOKUP(AL89,'Rating Factors'!$AP:$AQ,2,FALSE)="Decline",FALSE)
  ),
  "Declined",
  SUM(
    W89,
    X89,
    Y89*
      IFERROR(VLOOKUP(AD89,'Rating Factors'!$BS:$BT,2,FALSE),1),
    Z89*
      IFERROR(VLOOKUP(AD89,'Rating Factors'!$BS:$BT,2,FALSE),1)*
      IFERROR(VLOOKUP(AC89,'Rating Factors'!$BV:$BW,2,FALSE),1),
  )
  * IFERROR(VLOOKUP(F89,'Rating Factors'!$A:$B,2,FALSE),1)
  * IFERROR(VLOOKUP(G89,'Rating Factors'!$C:$D,2,FALSE),1)
  * IFERROR(VLOOKUP(J89,'Rating Factors'!$F:$G,2,FALSE),1)
  * IFERROR(VLOOKUP(K89,'Rating Factors'!$H:$I,2,FALSE),1)
  * IFERROR(VLOOKUP(L89,'Rating Factors'!$J:$K,2,FALSE),1)
  * IFERROR(VLOOKUP(M89,'Rating Factors'!$L:$M,2,FALSE),1)
  * IFERROR(VLOOKUP(N89,'Rating Factors'!$N:$O,2,FALSE),1)
  * IFERROR(VLOOKUP(O89,'Rating Factors'!$P:$Q,2,FALSE),1)
  * IFERROR(VLOOKUP(P89,'Rating Factors'!$BO:$BP,2,FALSE),1)
  * IFERROR(VLOOKUP(Q89,'Rating Factors'!$BQ:$BR,2,FALSE),1)
  * IFERROR(VLOOKUP(R89,'Rating Factors'!$R:$S,2,FALSE),1)
  * IFERROR(VLOOKUP(S89,'Rating Factors'!$T:$U,2,FALSE),1)
  * IFERROR(VLOOKUP(T89,'Rating Factors'!$V:$W,2,FALSE),1)
  * IFERROR(VLOOKUP(U89,'Rating Factors'!$X:$Y,2,FALSE),1)
  * IFERROR(VLOOKUP(AI89,'Rating Factors'!$AB:$AC,2,FALSE),1)
  * IFERROR(VLOOKUP(AK89,'Rating Factors'!$AK:$AL,2,FALSE),1)
  * IFERROR(VLOOKUP(AL89,'Rating Factors'!$AP:$AQ,2,FALSE),1)
  * IFERROR(LOOKUP(SUM($W$8:$Z$127),'Rating Factors'!$BD:$BD,'Rating Factors'!$BE:$BE),1))</f>
        <v>0</v>
      </c>
      <c r="AY89" s="158">
        <f>IF(OR(AQ89="Declined", AN89&lt;&gt;"Y"),
   0,
   N(AT89)*N('Rating Factors'!$AG$2)/100
)</f>
        <v>0</v>
      </c>
      <c r="AZ89" s="158">
        <f t="shared" si="22"/>
        <v>0</v>
      </c>
      <c r="BA89" s="142">
        <f>_xlfn.LET(
  _xlpm.base_ok, AND(AQ89&lt;&gt;"Declined", N(AQ89)&gt;0),
  _xlpm.is_full, EXACT(AG89, "Full Limit"),
  _xlpm.total_tiv, SUM($AT$8:$AT$127),
  _xlpm.loc_tiv, N(BE89),
  _xlpm.full_rate, N('Rating Factors'!$AO$10),
  _xlpm.min_per_loc, N('Rating Factors'!$AN$10),
  _xlpm.n_locs, N(E86),
  _xlpm.sched_prem, MAX(_xlpm.total_tiv*_xlpm.full_rate, _xlpm.min_per_loc*_xlpm.n_locs),
  _xlpm.alloc_prem, IF(_xlpm.total_tiv=0, 0, _xlpm.sched_prem * _xlpm.loc_tiv / _xlpm.total_tiv),
  _xlpm.cap_prem, IFERROR(VLOOKUP(AG89, 'Rating Factors'!$AM:$AN, 2, FALSE), 0),
  IF(_xlpm.base_ok,
     IF(_xlpm.is_full, _xlpm.alloc_prem, _xlpm.cap_prem),
     0
  )
)</f>
        <v>0</v>
      </c>
      <c r="BB89" s="143">
        <f t="shared" si="15"/>
        <v>0</v>
      </c>
      <c r="BC89" s="144">
        <f t="shared" si="23"/>
        <v>0</v>
      </c>
      <c r="BD89" s="145">
        <f t="shared" si="24"/>
        <v>0</v>
      </c>
      <c r="BE89" s="115">
        <f t="shared" si="16"/>
        <v>0</v>
      </c>
      <c r="BF89" s="106" t="str">
        <f t="shared" si="25"/>
        <v/>
      </c>
      <c r="BG89"/>
      <c r="BI89" s="67" t="str" cm="1">
        <f t="array" ref="BI89">IF(E89="","",LEFT(_xlfn.REGEXEXTRACT(UPPER(E89),"[A-Z][0-9][A-Z][ -]?[0-9][A-Z][0-9]"),3))</f>
        <v/>
      </c>
      <c r="BJ89" s="66" t="str">
        <f>IF(E89="","",_xlfn.XLOOKUP(BI89, CrestaP!B:B, CrestaP!D:D, ""))</f>
        <v/>
      </c>
      <c r="BK89" s="66" t="str">
        <f>IFERROR(
  INDEX(
    CrestaP!H4:M9,
    MATCH(J89, {"Frame","Brick Veneer","Joisted Masonry","Non-Combustible","Masonry Non-Combustible","Fire resistive"}, 0),
    MATCH(TEXT(BJ89,"@"), {"16","E5","E4","E3","E2","E1"}, 0)
  ),
  ""
)</f>
        <v/>
      </c>
    </row>
    <row r="90" spans="2:63" hidden="1" x14ac:dyDescent="0.25">
      <c r="B90"/>
      <c r="C90" s="24">
        <f t="shared" si="26"/>
        <v>83</v>
      </c>
      <c r="D90" s="25" t="s">
        <v>30</v>
      </c>
      <c r="E90" s="175"/>
      <c r="F90" s="89"/>
      <c r="G90" s="89"/>
      <c r="H90" s="104"/>
      <c r="I90" s="104"/>
      <c r="J90" s="89"/>
      <c r="K90" s="89"/>
      <c r="L90" s="89"/>
      <c r="M90" s="89"/>
      <c r="N90" s="89"/>
      <c r="O90" s="89"/>
      <c r="P90" s="104"/>
      <c r="Q90" s="104"/>
      <c r="R90" s="89"/>
      <c r="S90" s="89"/>
      <c r="T90" s="89"/>
      <c r="U90" s="25"/>
      <c r="V90" s="119"/>
      <c r="W90" s="19"/>
      <c r="X90" s="104"/>
      <c r="Y90" s="104"/>
      <c r="Z90" s="104"/>
      <c r="AA90" s="19"/>
      <c r="AB90" s="160" t="str">
        <f>IF(OR(AA90="",G90=""),"",VLOOKUP(G90,'Rating Factors'!$C:$E,3,FALSE)*AA90)</f>
        <v/>
      </c>
      <c r="AC90" s="20"/>
      <c r="AD90" s="20"/>
      <c r="AE90" s="104"/>
      <c r="AF90" s="96"/>
      <c r="AG90" s="20"/>
      <c r="AH90" s="119"/>
      <c r="AI90" s="19"/>
      <c r="AJ90" s="19"/>
      <c r="AK90" s="19"/>
      <c r="AL90" s="96"/>
      <c r="AM90" s="119"/>
      <c r="AN90" s="19"/>
      <c r="AO90" s="20"/>
      <c r="AP90" s="119"/>
      <c r="AQ90" s="115">
        <f t="shared" si="17"/>
        <v>0</v>
      </c>
      <c r="AR90" s="171">
        <f>IF(OR(Z90="",N(Z90)=0),
IF(
N(H90)+N(I90)=0,
0,
MAX(
IFERROR(VLOOKUP(AE90,'Rating Factors'!$BJ:$BK,2,FALSE),0),
((N(H90)*'Rating Factors'!$BF$2)+(N(I90)*'Rating Factors'!$BG$2))
*IFERROR(VLOOKUP(AE90,'Rating Factors'!$Z:$AA,2,FALSE),1)
*IFERROR(VLOOKUP(AJ90,'Rating Factors'!$AD:$AE,2,FALSE),1)
*IFERROR(VLOOKUP(SUM($H$8:$H$127),'Rating Factors'!$BM:$BN,2),1)
*IFERROR(VLOOKUP(SUM($I$8:$I$127),'Rating Factors'!$BH:$BI,2),1)
)
),
MAX(IFERROR(VLOOKUP(AE90,'Rating Factors'!$BJ:$BL,3,FALSE),0),
((N(I90)*'Rating Factors'!$BG$2))
*IFERROR(VLOOKUP(AE90,'Rating Factors'!$Z:$AA,2,FALSE),1)
*IFERROR(VLOOKUP(AJ90,'Rating Factors'!$AD:$AE,2,FALSE),1)
*N(AA90)* IFERROR(VLOOKUP(G90,'Rating Factors'!$C:$D,2,FALSE),1)*0.0045
))</f>
        <v>0</v>
      </c>
      <c r="AS90" s="172">
        <f t="shared" si="18"/>
        <v>0</v>
      </c>
      <c r="AT90" s="115">
        <f t="shared" si="19"/>
        <v>0</v>
      </c>
      <c r="AU90" s="173" t="str">
        <f t="shared" si="20"/>
        <v/>
      </c>
      <c r="AV90" s="174" t="str">
        <f t="shared" si="21"/>
        <v/>
      </c>
      <c r="AW90" s="119"/>
      <c r="AX90" s="141">
        <f>IF(
  OR(
    IFERROR(VLOOKUP(F90,'Rating Factors'!$A:$B,2,FALSE)="Decline",FALSE),
    IFERROR(VLOOKUP(G90,'Rating Factors'!$C:$D,2,FALSE)="Decline",FALSE),
    IFERROR(VLOOKUP(J90,'Rating Factors'!$F:$G,2,FALSE)="Decline",FALSE),
    IFERROR(VLOOKUP(K90,'Rating Factors'!$H:$I,2,FALSE)="Decline",FALSE),
    IFERROR(VLOOKUP(L90,'Rating Factors'!$J:$K,2,FALSE)="Decline",FALSE),
    IFERROR(VLOOKUP(M90,'Rating Factors'!$L:$M,2,FALSE)="Decline",FALSE),
    IFERROR(VLOOKUP(N90,'Rating Factors'!$N:$O,2,FALSE)="Decline",FALSE),
    IFERROR(VLOOKUP(O90,'Rating Factors'!$P:$Q,2,FALSE)="Decline",FALSE),
    IFERROR(VLOOKUP(P90,'Rating Factors'!$BO:$BP,2,FALSE)="Decline",FALSE),
    IFERROR(VLOOKUP(Q90,'Rating Factors'!$BQ:$BR,2,FALSE)="Decline",FALSE),
    IFERROR(VLOOKUP(R90,'Rating Factors'!$R:$S,2,FALSE)="Decline",FALSE),
    IFERROR(VLOOKUP(S90,'Rating Factors'!$T:$U,2,FALSE)="Decline",FALSE),
    IFERROR(VLOOKUP(T90,'Rating Factors'!$V:$W,2,FALSE)="Decline",FALSE),
    IFERROR(VLOOKUP(U90,'Rating Factors'!$X:$Y,2,FALSE)="Decline",FALSE),
    IFERROR(VLOOKUP(AI90,'Rating Factors'!$AB:$AC,2,FALSE)="Decline",FALSE),
    IFERROR(VLOOKUP(AK90,'Rating Factors'!$AK:$AL,2,FALSE)="Decline",FALSE),
    IFERROR(VLOOKUP(AL90,'Rating Factors'!$AP:$AQ,2,FALSE)="Decline",FALSE)
  ),
  "Declined",
  SUM(
    W90,
    X90,
    Y90*
      IFERROR(VLOOKUP(AD90,'Rating Factors'!$BS:$BT,2,FALSE),1),
    Z90*
      IFERROR(VLOOKUP(AD90,'Rating Factors'!$BS:$BT,2,FALSE),1)*
      IFERROR(VLOOKUP(AC90,'Rating Factors'!$BV:$BW,2,FALSE),1),
  )
  * IFERROR(VLOOKUP(F90,'Rating Factors'!$A:$B,2,FALSE),1)
  * IFERROR(VLOOKUP(G90,'Rating Factors'!$C:$D,2,FALSE),1)
  * IFERROR(VLOOKUP(J90,'Rating Factors'!$F:$G,2,FALSE),1)
  * IFERROR(VLOOKUP(K90,'Rating Factors'!$H:$I,2,FALSE),1)
  * IFERROR(VLOOKUP(L90,'Rating Factors'!$J:$K,2,FALSE),1)
  * IFERROR(VLOOKUP(M90,'Rating Factors'!$L:$M,2,FALSE),1)
  * IFERROR(VLOOKUP(N90,'Rating Factors'!$N:$O,2,FALSE),1)
  * IFERROR(VLOOKUP(O90,'Rating Factors'!$P:$Q,2,FALSE),1)
  * IFERROR(VLOOKUP(P90,'Rating Factors'!$BO:$BP,2,FALSE),1)
  * IFERROR(VLOOKUP(Q90,'Rating Factors'!$BQ:$BR,2,FALSE),1)
  * IFERROR(VLOOKUP(R90,'Rating Factors'!$R:$S,2,FALSE),1)
  * IFERROR(VLOOKUP(S90,'Rating Factors'!$T:$U,2,FALSE),1)
  * IFERROR(VLOOKUP(T90,'Rating Factors'!$V:$W,2,FALSE),1)
  * IFERROR(VLOOKUP(U90,'Rating Factors'!$X:$Y,2,FALSE),1)
  * IFERROR(VLOOKUP(AI90,'Rating Factors'!$AB:$AC,2,FALSE),1)
  * IFERROR(VLOOKUP(AK90,'Rating Factors'!$AK:$AL,2,FALSE),1)
  * IFERROR(VLOOKUP(AL90,'Rating Factors'!$AP:$AQ,2,FALSE),1)
  * IFERROR(LOOKUP(SUM($W$8:$Z$127),'Rating Factors'!$BD:$BD,'Rating Factors'!$BE:$BE),1))</f>
        <v>0</v>
      </c>
      <c r="AY90" s="158">
        <f>IF(OR(AQ90="Declined", AN90&lt;&gt;"Y"),
   0,
   N(AT90)*N('Rating Factors'!$AG$2)/100
)</f>
        <v>0</v>
      </c>
      <c r="AZ90" s="158">
        <f t="shared" si="22"/>
        <v>0</v>
      </c>
      <c r="BA90" s="142">
        <f>_xlfn.LET(
  _xlpm.base_ok, AND(AQ90&lt;&gt;"Declined", N(AQ90)&gt;0),
  _xlpm.is_full, EXACT(AG90, "Full Limit"),
  _xlpm.total_tiv, SUM($AT$8:$AT$127),
  _xlpm.loc_tiv, N(BE90),
  _xlpm.full_rate, N('Rating Factors'!$AO$10),
  _xlpm.min_per_loc, N('Rating Factors'!$AN$10),
  _xlpm.n_locs, N(E87),
  _xlpm.sched_prem, MAX(_xlpm.total_tiv*_xlpm.full_rate, _xlpm.min_per_loc*_xlpm.n_locs),
  _xlpm.alloc_prem, IF(_xlpm.total_tiv=0, 0, _xlpm.sched_prem * _xlpm.loc_tiv / _xlpm.total_tiv),
  _xlpm.cap_prem, IFERROR(VLOOKUP(AG90, 'Rating Factors'!$AM:$AN, 2, FALSE), 0),
  IF(_xlpm.base_ok,
     IF(_xlpm.is_full, _xlpm.alloc_prem, _xlpm.cap_prem),
     0
  )
)</f>
        <v>0</v>
      </c>
      <c r="BB90" s="143">
        <f t="shared" si="15"/>
        <v>0</v>
      </c>
      <c r="BC90" s="144">
        <f t="shared" si="23"/>
        <v>0</v>
      </c>
      <c r="BD90" s="145">
        <f t="shared" si="24"/>
        <v>0</v>
      </c>
      <c r="BE90" s="115">
        <f t="shared" si="16"/>
        <v>0</v>
      </c>
      <c r="BF90" s="106" t="str">
        <f t="shared" si="25"/>
        <v/>
      </c>
      <c r="BG90"/>
      <c r="BI90" s="67" t="str" cm="1">
        <f t="array" ref="BI90">IF(E90="","",LEFT(_xlfn.REGEXEXTRACT(UPPER(E90),"[A-Z][0-9][A-Z][ -]?[0-9][A-Z][0-9]"),3))</f>
        <v/>
      </c>
      <c r="BJ90" s="66" t="str">
        <f>IF(E90="","",_xlfn.XLOOKUP(BI90, CrestaP!B:B, CrestaP!D:D, ""))</f>
        <v/>
      </c>
      <c r="BK90" s="66" t="str">
        <f>IFERROR(
  INDEX(
    CrestaP!H4:M9,
    MATCH(J90, {"Frame","Brick Veneer","Joisted Masonry","Non-Combustible","Masonry Non-Combustible","Fire resistive"}, 0),
    MATCH(TEXT(BJ90,"@"), {"16","E5","E4","E3","E2","E1"}, 0)
  ),
  ""
)</f>
        <v/>
      </c>
    </row>
    <row r="91" spans="2:63" hidden="1" x14ac:dyDescent="0.25">
      <c r="B91"/>
      <c r="C91" s="24">
        <f t="shared" si="26"/>
        <v>84</v>
      </c>
      <c r="D91" s="25" t="s">
        <v>30</v>
      </c>
      <c r="E91" s="175"/>
      <c r="F91" s="89"/>
      <c r="G91" s="89"/>
      <c r="H91" s="104"/>
      <c r="I91" s="104"/>
      <c r="J91" s="89"/>
      <c r="K91" s="89"/>
      <c r="L91" s="89"/>
      <c r="M91" s="89"/>
      <c r="N91" s="89"/>
      <c r="O91" s="89"/>
      <c r="P91" s="104"/>
      <c r="Q91" s="104"/>
      <c r="R91" s="89"/>
      <c r="S91" s="89"/>
      <c r="T91" s="89"/>
      <c r="U91" s="25"/>
      <c r="V91" s="119"/>
      <c r="W91" s="19"/>
      <c r="X91" s="104"/>
      <c r="Y91" s="104"/>
      <c r="Z91" s="104"/>
      <c r="AA91" s="19"/>
      <c r="AB91" s="160" t="str">
        <f>IF(OR(AA91="",G91=""),"",VLOOKUP(G91,'Rating Factors'!$C:$E,3,FALSE)*AA91)</f>
        <v/>
      </c>
      <c r="AC91" s="20"/>
      <c r="AD91" s="20"/>
      <c r="AE91" s="104"/>
      <c r="AF91" s="96"/>
      <c r="AG91" s="20"/>
      <c r="AH91" s="119"/>
      <c r="AI91" s="19"/>
      <c r="AJ91" s="19"/>
      <c r="AK91" s="19"/>
      <c r="AL91" s="96"/>
      <c r="AM91" s="119"/>
      <c r="AN91" s="19"/>
      <c r="AO91" s="20"/>
      <c r="AP91" s="119"/>
      <c r="AQ91" s="115">
        <f t="shared" si="17"/>
        <v>0</v>
      </c>
      <c r="AR91" s="171">
        <f>IF(OR(Z91="",N(Z91)=0),
IF(
N(H91)+N(I91)=0,
0,
MAX(
IFERROR(VLOOKUP(AE91,'Rating Factors'!$BJ:$BK,2,FALSE),0),
((N(H91)*'Rating Factors'!$BF$2)+(N(I91)*'Rating Factors'!$BG$2))
*IFERROR(VLOOKUP(AE91,'Rating Factors'!$Z:$AA,2,FALSE),1)
*IFERROR(VLOOKUP(AJ91,'Rating Factors'!$AD:$AE,2,FALSE),1)
*IFERROR(VLOOKUP(SUM($H$8:$H$127),'Rating Factors'!$BM:$BN,2),1)
*IFERROR(VLOOKUP(SUM($I$8:$I$127),'Rating Factors'!$BH:$BI,2),1)
)
),
MAX(IFERROR(VLOOKUP(AE91,'Rating Factors'!$BJ:$BL,3,FALSE),0),
((N(I91)*'Rating Factors'!$BG$2))
*IFERROR(VLOOKUP(AE91,'Rating Factors'!$Z:$AA,2,FALSE),1)
*IFERROR(VLOOKUP(AJ91,'Rating Factors'!$AD:$AE,2,FALSE),1)
*N(AA91)* IFERROR(VLOOKUP(G91,'Rating Factors'!$C:$D,2,FALSE),1)*0.0045
))</f>
        <v>0</v>
      </c>
      <c r="AS91" s="172">
        <f t="shared" si="18"/>
        <v>0</v>
      </c>
      <c r="AT91" s="115">
        <f t="shared" si="19"/>
        <v>0</v>
      </c>
      <c r="AU91" s="173" t="str">
        <f t="shared" si="20"/>
        <v/>
      </c>
      <c r="AV91" s="174" t="str">
        <f t="shared" si="21"/>
        <v/>
      </c>
      <c r="AW91" s="119"/>
      <c r="AX91" s="141">
        <f>IF(
  OR(
    IFERROR(VLOOKUP(F91,'Rating Factors'!$A:$B,2,FALSE)="Decline",FALSE),
    IFERROR(VLOOKUP(G91,'Rating Factors'!$C:$D,2,FALSE)="Decline",FALSE),
    IFERROR(VLOOKUP(J91,'Rating Factors'!$F:$G,2,FALSE)="Decline",FALSE),
    IFERROR(VLOOKUP(K91,'Rating Factors'!$H:$I,2,FALSE)="Decline",FALSE),
    IFERROR(VLOOKUP(L91,'Rating Factors'!$J:$K,2,FALSE)="Decline",FALSE),
    IFERROR(VLOOKUP(M91,'Rating Factors'!$L:$M,2,FALSE)="Decline",FALSE),
    IFERROR(VLOOKUP(N91,'Rating Factors'!$N:$O,2,FALSE)="Decline",FALSE),
    IFERROR(VLOOKUP(O91,'Rating Factors'!$P:$Q,2,FALSE)="Decline",FALSE),
    IFERROR(VLOOKUP(P91,'Rating Factors'!$BO:$BP,2,FALSE)="Decline",FALSE),
    IFERROR(VLOOKUP(Q91,'Rating Factors'!$BQ:$BR,2,FALSE)="Decline",FALSE),
    IFERROR(VLOOKUP(R91,'Rating Factors'!$R:$S,2,FALSE)="Decline",FALSE),
    IFERROR(VLOOKUP(S91,'Rating Factors'!$T:$U,2,FALSE)="Decline",FALSE),
    IFERROR(VLOOKUP(T91,'Rating Factors'!$V:$W,2,FALSE)="Decline",FALSE),
    IFERROR(VLOOKUP(U91,'Rating Factors'!$X:$Y,2,FALSE)="Decline",FALSE),
    IFERROR(VLOOKUP(AI91,'Rating Factors'!$AB:$AC,2,FALSE)="Decline",FALSE),
    IFERROR(VLOOKUP(AK91,'Rating Factors'!$AK:$AL,2,FALSE)="Decline",FALSE),
    IFERROR(VLOOKUP(AL91,'Rating Factors'!$AP:$AQ,2,FALSE)="Decline",FALSE)
  ),
  "Declined",
  SUM(
    W91,
    X91,
    Y91*
      IFERROR(VLOOKUP(AD91,'Rating Factors'!$BS:$BT,2,FALSE),1),
    Z91*
      IFERROR(VLOOKUP(AD91,'Rating Factors'!$BS:$BT,2,FALSE),1)*
      IFERROR(VLOOKUP(AC91,'Rating Factors'!$BV:$BW,2,FALSE),1),
  )
  * IFERROR(VLOOKUP(F91,'Rating Factors'!$A:$B,2,FALSE),1)
  * IFERROR(VLOOKUP(G91,'Rating Factors'!$C:$D,2,FALSE),1)
  * IFERROR(VLOOKUP(J91,'Rating Factors'!$F:$G,2,FALSE),1)
  * IFERROR(VLOOKUP(K91,'Rating Factors'!$H:$I,2,FALSE),1)
  * IFERROR(VLOOKUP(L91,'Rating Factors'!$J:$K,2,FALSE),1)
  * IFERROR(VLOOKUP(M91,'Rating Factors'!$L:$M,2,FALSE),1)
  * IFERROR(VLOOKUP(N91,'Rating Factors'!$N:$O,2,FALSE),1)
  * IFERROR(VLOOKUP(O91,'Rating Factors'!$P:$Q,2,FALSE),1)
  * IFERROR(VLOOKUP(P91,'Rating Factors'!$BO:$BP,2,FALSE),1)
  * IFERROR(VLOOKUP(Q91,'Rating Factors'!$BQ:$BR,2,FALSE),1)
  * IFERROR(VLOOKUP(R91,'Rating Factors'!$R:$S,2,FALSE),1)
  * IFERROR(VLOOKUP(S91,'Rating Factors'!$T:$U,2,FALSE),1)
  * IFERROR(VLOOKUP(T91,'Rating Factors'!$V:$W,2,FALSE),1)
  * IFERROR(VLOOKUP(U91,'Rating Factors'!$X:$Y,2,FALSE),1)
  * IFERROR(VLOOKUP(AI91,'Rating Factors'!$AB:$AC,2,FALSE),1)
  * IFERROR(VLOOKUP(AK91,'Rating Factors'!$AK:$AL,2,FALSE),1)
  * IFERROR(VLOOKUP(AL91,'Rating Factors'!$AP:$AQ,2,FALSE),1)
  * IFERROR(LOOKUP(SUM($W$8:$Z$127),'Rating Factors'!$BD:$BD,'Rating Factors'!$BE:$BE),1))</f>
        <v>0</v>
      </c>
      <c r="AY91" s="158">
        <f>IF(OR(AQ91="Declined", AN91&lt;&gt;"Y"),
   0,
   N(AT91)*N('Rating Factors'!$AG$2)/100
)</f>
        <v>0</v>
      </c>
      <c r="AZ91" s="158">
        <f t="shared" si="22"/>
        <v>0</v>
      </c>
      <c r="BA91" s="142">
        <f>_xlfn.LET(
  _xlpm.base_ok, AND(AQ91&lt;&gt;"Declined", N(AQ91)&gt;0),
  _xlpm.is_full, EXACT(AG91, "Full Limit"),
  _xlpm.total_tiv, SUM($AT$8:$AT$127),
  _xlpm.loc_tiv, N(BE91),
  _xlpm.full_rate, N('Rating Factors'!$AO$10),
  _xlpm.min_per_loc, N('Rating Factors'!$AN$10),
  _xlpm.n_locs, N(E88),
  _xlpm.sched_prem, MAX(_xlpm.total_tiv*_xlpm.full_rate, _xlpm.min_per_loc*_xlpm.n_locs),
  _xlpm.alloc_prem, IF(_xlpm.total_tiv=0, 0, _xlpm.sched_prem * _xlpm.loc_tiv / _xlpm.total_tiv),
  _xlpm.cap_prem, IFERROR(VLOOKUP(AG91, 'Rating Factors'!$AM:$AN, 2, FALSE), 0),
  IF(_xlpm.base_ok,
     IF(_xlpm.is_full, _xlpm.alloc_prem, _xlpm.cap_prem),
     0
  )
)</f>
        <v>0</v>
      </c>
      <c r="BB91" s="143">
        <f t="shared" si="15"/>
        <v>0</v>
      </c>
      <c r="BC91" s="144">
        <f t="shared" si="23"/>
        <v>0</v>
      </c>
      <c r="BD91" s="145">
        <f t="shared" si="24"/>
        <v>0</v>
      </c>
      <c r="BE91" s="115">
        <f t="shared" si="16"/>
        <v>0</v>
      </c>
      <c r="BF91" s="106" t="str">
        <f t="shared" si="25"/>
        <v/>
      </c>
      <c r="BG91"/>
      <c r="BI91" s="67" t="str" cm="1">
        <f t="array" ref="BI91">IF(E91="","",LEFT(_xlfn.REGEXEXTRACT(UPPER(E91),"[A-Z][0-9][A-Z][ -]?[0-9][A-Z][0-9]"),3))</f>
        <v/>
      </c>
      <c r="BJ91" s="66" t="str">
        <f>IF(E91="","",_xlfn.XLOOKUP(BI91, CrestaP!B:B, CrestaP!D:D, ""))</f>
        <v/>
      </c>
      <c r="BK91" s="66" t="str">
        <f>IFERROR(
  INDEX(
    CrestaP!H4:M9,
    MATCH(J91, {"Frame","Brick Veneer","Joisted Masonry","Non-Combustible","Masonry Non-Combustible","Fire resistive"}, 0),
    MATCH(TEXT(BJ91,"@"), {"16","E5","E4","E3","E2","E1"}, 0)
  ),
  ""
)</f>
        <v/>
      </c>
    </row>
    <row r="92" spans="2:63" hidden="1" x14ac:dyDescent="0.25">
      <c r="B92"/>
      <c r="C92" s="24">
        <f t="shared" si="26"/>
        <v>85</v>
      </c>
      <c r="D92" s="25" t="s">
        <v>30</v>
      </c>
      <c r="E92" s="175"/>
      <c r="F92" s="89"/>
      <c r="G92" s="89"/>
      <c r="H92" s="104"/>
      <c r="I92" s="104"/>
      <c r="J92" s="89"/>
      <c r="K92" s="89"/>
      <c r="L92" s="89"/>
      <c r="M92" s="89"/>
      <c r="N92" s="89"/>
      <c r="O92" s="89"/>
      <c r="P92" s="104"/>
      <c r="Q92" s="104"/>
      <c r="R92" s="89"/>
      <c r="S92" s="89"/>
      <c r="T92" s="89"/>
      <c r="U92" s="25"/>
      <c r="V92" s="119"/>
      <c r="W92" s="19"/>
      <c r="X92" s="104"/>
      <c r="Y92" s="104"/>
      <c r="Z92" s="104"/>
      <c r="AA92" s="19"/>
      <c r="AB92" s="160" t="str">
        <f>IF(OR(AA92="",G92=""),"",VLOOKUP(G92,'Rating Factors'!$C:$E,3,FALSE)*AA92)</f>
        <v/>
      </c>
      <c r="AC92" s="20"/>
      <c r="AD92" s="20"/>
      <c r="AE92" s="104"/>
      <c r="AF92" s="96"/>
      <c r="AG92" s="20"/>
      <c r="AH92" s="119"/>
      <c r="AI92" s="19"/>
      <c r="AJ92" s="19"/>
      <c r="AK92" s="19"/>
      <c r="AL92" s="96"/>
      <c r="AM92" s="119"/>
      <c r="AN92" s="19"/>
      <c r="AO92" s="20"/>
      <c r="AP92" s="119"/>
      <c r="AQ92" s="115">
        <f t="shared" si="17"/>
        <v>0</v>
      </c>
      <c r="AR92" s="171">
        <f>IF(OR(Z92="",N(Z92)=0),
IF(
N(H92)+N(I92)=0,
0,
MAX(
IFERROR(VLOOKUP(AE92,'Rating Factors'!$BJ:$BK,2,FALSE),0),
((N(H92)*'Rating Factors'!$BF$2)+(N(I92)*'Rating Factors'!$BG$2))
*IFERROR(VLOOKUP(AE92,'Rating Factors'!$Z:$AA,2,FALSE),1)
*IFERROR(VLOOKUP(AJ92,'Rating Factors'!$AD:$AE,2,FALSE),1)
*IFERROR(VLOOKUP(SUM($H$8:$H$127),'Rating Factors'!$BM:$BN,2),1)
*IFERROR(VLOOKUP(SUM($I$8:$I$127),'Rating Factors'!$BH:$BI,2),1)
)
),
MAX(IFERROR(VLOOKUP(AE92,'Rating Factors'!$BJ:$BL,3,FALSE),0),
((N(I92)*'Rating Factors'!$BG$2))
*IFERROR(VLOOKUP(AE92,'Rating Factors'!$Z:$AA,2,FALSE),1)
*IFERROR(VLOOKUP(AJ92,'Rating Factors'!$AD:$AE,2,FALSE),1)
*N(AA92)* IFERROR(VLOOKUP(G92,'Rating Factors'!$C:$D,2,FALSE),1)*0.0045
))</f>
        <v>0</v>
      </c>
      <c r="AS92" s="172">
        <f t="shared" si="18"/>
        <v>0</v>
      </c>
      <c r="AT92" s="115">
        <f t="shared" si="19"/>
        <v>0</v>
      </c>
      <c r="AU92" s="173" t="str">
        <f t="shared" si="20"/>
        <v/>
      </c>
      <c r="AV92" s="174" t="str">
        <f t="shared" si="21"/>
        <v/>
      </c>
      <c r="AW92" s="119"/>
      <c r="AX92" s="141">
        <f>IF(
  OR(
    IFERROR(VLOOKUP(F92,'Rating Factors'!$A:$B,2,FALSE)="Decline",FALSE),
    IFERROR(VLOOKUP(G92,'Rating Factors'!$C:$D,2,FALSE)="Decline",FALSE),
    IFERROR(VLOOKUP(J92,'Rating Factors'!$F:$G,2,FALSE)="Decline",FALSE),
    IFERROR(VLOOKUP(K92,'Rating Factors'!$H:$I,2,FALSE)="Decline",FALSE),
    IFERROR(VLOOKUP(L92,'Rating Factors'!$J:$K,2,FALSE)="Decline",FALSE),
    IFERROR(VLOOKUP(M92,'Rating Factors'!$L:$M,2,FALSE)="Decline",FALSE),
    IFERROR(VLOOKUP(N92,'Rating Factors'!$N:$O,2,FALSE)="Decline",FALSE),
    IFERROR(VLOOKUP(O92,'Rating Factors'!$P:$Q,2,FALSE)="Decline",FALSE),
    IFERROR(VLOOKUP(P92,'Rating Factors'!$BO:$BP,2,FALSE)="Decline",FALSE),
    IFERROR(VLOOKUP(Q92,'Rating Factors'!$BQ:$BR,2,FALSE)="Decline",FALSE),
    IFERROR(VLOOKUP(R92,'Rating Factors'!$R:$S,2,FALSE)="Decline",FALSE),
    IFERROR(VLOOKUP(S92,'Rating Factors'!$T:$U,2,FALSE)="Decline",FALSE),
    IFERROR(VLOOKUP(T92,'Rating Factors'!$V:$W,2,FALSE)="Decline",FALSE),
    IFERROR(VLOOKUP(U92,'Rating Factors'!$X:$Y,2,FALSE)="Decline",FALSE),
    IFERROR(VLOOKUP(AI92,'Rating Factors'!$AB:$AC,2,FALSE)="Decline",FALSE),
    IFERROR(VLOOKUP(AK92,'Rating Factors'!$AK:$AL,2,FALSE)="Decline",FALSE),
    IFERROR(VLOOKUP(AL92,'Rating Factors'!$AP:$AQ,2,FALSE)="Decline",FALSE)
  ),
  "Declined",
  SUM(
    W92,
    X92,
    Y92*
      IFERROR(VLOOKUP(AD92,'Rating Factors'!$BS:$BT,2,FALSE),1),
    Z92*
      IFERROR(VLOOKUP(AD92,'Rating Factors'!$BS:$BT,2,FALSE),1)*
      IFERROR(VLOOKUP(AC92,'Rating Factors'!$BV:$BW,2,FALSE),1),
  )
  * IFERROR(VLOOKUP(F92,'Rating Factors'!$A:$B,2,FALSE),1)
  * IFERROR(VLOOKUP(G92,'Rating Factors'!$C:$D,2,FALSE),1)
  * IFERROR(VLOOKUP(J92,'Rating Factors'!$F:$G,2,FALSE),1)
  * IFERROR(VLOOKUP(K92,'Rating Factors'!$H:$I,2,FALSE),1)
  * IFERROR(VLOOKUP(L92,'Rating Factors'!$J:$K,2,FALSE),1)
  * IFERROR(VLOOKUP(M92,'Rating Factors'!$L:$M,2,FALSE),1)
  * IFERROR(VLOOKUP(N92,'Rating Factors'!$N:$O,2,FALSE),1)
  * IFERROR(VLOOKUP(O92,'Rating Factors'!$P:$Q,2,FALSE),1)
  * IFERROR(VLOOKUP(P92,'Rating Factors'!$BO:$BP,2,FALSE),1)
  * IFERROR(VLOOKUP(Q92,'Rating Factors'!$BQ:$BR,2,FALSE),1)
  * IFERROR(VLOOKUP(R92,'Rating Factors'!$R:$S,2,FALSE),1)
  * IFERROR(VLOOKUP(S92,'Rating Factors'!$T:$U,2,FALSE),1)
  * IFERROR(VLOOKUP(T92,'Rating Factors'!$V:$W,2,FALSE),1)
  * IFERROR(VLOOKUP(U92,'Rating Factors'!$X:$Y,2,FALSE),1)
  * IFERROR(VLOOKUP(AI92,'Rating Factors'!$AB:$AC,2,FALSE),1)
  * IFERROR(VLOOKUP(AK92,'Rating Factors'!$AK:$AL,2,FALSE),1)
  * IFERROR(VLOOKUP(AL92,'Rating Factors'!$AP:$AQ,2,FALSE),1)
  * IFERROR(LOOKUP(SUM($W$8:$Z$127),'Rating Factors'!$BD:$BD,'Rating Factors'!$BE:$BE),1))</f>
        <v>0</v>
      </c>
      <c r="AY92" s="158">
        <f>IF(OR(AQ92="Declined", AN92&lt;&gt;"Y"),
   0,
   N(AT92)*N('Rating Factors'!$AG$2)/100
)</f>
        <v>0</v>
      </c>
      <c r="AZ92" s="158">
        <f t="shared" si="22"/>
        <v>0</v>
      </c>
      <c r="BA92" s="142">
        <f>_xlfn.LET(
  _xlpm.base_ok, AND(AQ92&lt;&gt;"Declined", N(AQ92)&gt;0),
  _xlpm.is_full, EXACT(AG92, "Full Limit"),
  _xlpm.total_tiv, SUM($AT$8:$AT$127),
  _xlpm.loc_tiv, N(BE92),
  _xlpm.full_rate, N('Rating Factors'!$AO$10),
  _xlpm.min_per_loc, N('Rating Factors'!$AN$10),
  _xlpm.n_locs, N(E89),
  _xlpm.sched_prem, MAX(_xlpm.total_tiv*_xlpm.full_rate, _xlpm.min_per_loc*_xlpm.n_locs),
  _xlpm.alloc_prem, IF(_xlpm.total_tiv=0, 0, _xlpm.sched_prem * _xlpm.loc_tiv / _xlpm.total_tiv),
  _xlpm.cap_prem, IFERROR(VLOOKUP(AG92, 'Rating Factors'!$AM:$AN, 2, FALSE), 0),
  IF(_xlpm.base_ok,
     IF(_xlpm.is_full, _xlpm.alloc_prem, _xlpm.cap_prem),
     0
  )
)</f>
        <v>0</v>
      </c>
      <c r="BB92" s="143">
        <f t="shared" si="15"/>
        <v>0</v>
      </c>
      <c r="BC92" s="144">
        <f t="shared" si="23"/>
        <v>0</v>
      </c>
      <c r="BD92" s="145">
        <f t="shared" si="24"/>
        <v>0</v>
      </c>
      <c r="BE92" s="115">
        <f t="shared" si="16"/>
        <v>0</v>
      </c>
      <c r="BF92" s="106" t="str">
        <f t="shared" si="25"/>
        <v/>
      </c>
      <c r="BG92"/>
      <c r="BI92" s="67" t="str" cm="1">
        <f t="array" ref="BI92">IF(E92="","",LEFT(_xlfn.REGEXEXTRACT(UPPER(E92),"[A-Z][0-9][A-Z][ -]?[0-9][A-Z][0-9]"),3))</f>
        <v/>
      </c>
      <c r="BJ92" s="66" t="str">
        <f>IF(E92="","",_xlfn.XLOOKUP(BI92, CrestaP!B:B, CrestaP!D:D, ""))</f>
        <v/>
      </c>
      <c r="BK92" s="66" t="str">
        <f>IFERROR(
  INDEX(
    CrestaP!H4:M9,
    MATCH(J92, {"Frame","Brick Veneer","Joisted Masonry","Non-Combustible","Masonry Non-Combustible","Fire resistive"}, 0),
    MATCH(TEXT(BJ92,"@"), {"16","E5","E4","E3","E2","E1"}, 0)
  ),
  ""
)</f>
        <v/>
      </c>
    </row>
    <row r="93" spans="2:63" hidden="1" x14ac:dyDescent="0.25">
      <c r="B93"/>
      <c r="C93" s="24">
        <f t="shared" si="26"/>
        <v>86</v>
      </c>
      <c r="D93" s="25" t="s">
        <v>30</v>
      </c>
      <c r="E93" s="175"/>
      <c r="F93" s="89"/>
      <c r="G93" s="89"/>
      <c r="H93" s="104"/>
      <c r="I93" s="104"/>
      <c r="J93" s="89"/>
      <c r="K93" s="89"/>
      <c r="L93" s="89"/>
      <c r="M93" s="89"/>
      <c r="N93" s="89"/>
      <c r="O93" s="89"/>
      <c r="P93" s="104"/>
      <c r="Q93" s="104"/>
      <c r="R93" s="89"/>
      <c r="S93" s="89"/>
      <c r="T93" s="89"/>
      <c r="U93" s="25"/>
      <c r="V93" s="119"/>
      <c r="W93" s="19"/>
      <c r="X93" s="104"/>
      <c r="Y93" s="104"/>
      <c r="Z93" s="104"/>
      <c r="AA93" s="19"/>
      <c r="AB93" s="160" t="str">
        <f>IF(OR(AA93="",G93=""),"",VLOOKUP(G93,'Rating Factors'!$C:$E,3,FALSE)*AA93)</f>
        <v/>
      </c>
      <c r="AC93" s="20"/>
      <c r="AD93" s="20"/>
      <c r="AE93" s="104"/>
      <c r="AF93" s="96"/>
      <c r="AG93" s="20"/>
      <c r="AH93" s="119"/>
      <c r="AI93" s="19"/>
      <c r="AJ93" s="19"/>
      <c r="AK93" s="19"/>
      <c r="AL93" s="96"/>
      <c r="AM93" s="119"/>
      <c r="AN93" s="19"/>
      <c r="AO93" s="20"/>
      <c r="AP93" s="119"/>
      <c r="AQ93" s="115">
        <f t="shared" si="17"/>
        <v>0</v>
      </c>
      <c r="AR93" s="171">
        <f>IF(OR(Z93="",N(Z93)=0),
IF(
N(H93)+N(I93)=0,
0,
MAX(
IFERROR(VLOOKUP(AE93,'Rating Factors'!$BJ:$BK,2,FALSE),0),
((N(H93)*'Rating Factors'!$BF$2)+(N(I93)*'Rating Factors'!$BG$2))
*IFERROR(VLOOKUP(AE93,'Rating Factors'!$Z:$AA,2,FALSE),1)
*IFERROR(VLOOKUP(AJ93,'Rating Factors'!$AD:$AE,2,FALSE),1)
*IFERROR(VLOOKUP(SUM($H$8:$H$127),'Rating Factors'!$BM:$BN,2),1)
*IFERROR(VLOOKUP(SUM($I$8:$I$127),'Rating Factors'!$BH:$BI,2),1)
)
),
MAX(IFERROR(VLOOKUP(AE93,'Rating Factors'!$BJ:$BL,3,FALSE),0),
((N(I93)*'Rating Factors'!$BG$2))
*IFERROR(VLOOKUP(AE93,'Rating Factors'!$Z:$AA,2,FALSE),1)
*IFERROR(VLOOKUP(AJ93,'Rating Factors'!$AD:$AE,2,FALSE),1)
*N(AA93)* IFERROR(VLOOKUP(G93,'Rating Factors'!$C:$D,2,FALSE),1)*0.0045
))</f>
        <v>0</v>
      </c>
      <c r="AS93" s="172">
        <f t="shared" si="18"/>
        <v>0</v>
      </c>
      <c r="AT93" s="115">
        <f t="shared" si="19"/>
        <v>0</v>
      </c>
      <c r="AU93" s="173" t="str">
        <f t="shared" si="20"/>
        <v/>
      </c>
      <c r="AV93" s="174" t="str">
        <f t="shared" si="21"/>
        <v/>
      </c>
      <c r="AW93" s="119"/>
      <c r="AX93" s="141">
        <f>IF(
  OR(
    IFERROR(VLOOKUP(F93,'Rating Factors'!$A:$B,2,FALSE)="Decline",FALSE),
    IFERROR(VLOOKUP(G93,'Rating Factors'!$C:$D,2,FALSE)="Decline",FALSE),
    IFERROR(VLOOKUP(J93,'Rating Factors'!$F:$G,2,FALSE)="Decline",FALSE),
    IFERROR(VLOOKUP(K93,'Rating Factors'!$H:$I,2,FALSE)="Decline",FALSE),
    IFERROR(VLOOKUP(L93,'Rating Factors'!$J:$K,2,FALSE)="Decline",FALSE),
    IFERROR(VLOOKUP(M93,'Rating Factors'!$L:$M,2,FALSE)="Decline",FALSE),
    IFERROR(VLOOKUP(N93,'Rating Factors'!$N:$O,2,FALSE)="Decline",FALSE),
    IFERROR(VLOOKUP(O93,'Rating Factors'!$P:$Q,2,FALSE)="Decline",FALSE),
    IFERROR(VLOOKUP(P93,'Rating Factors'!$BO:$BP,2,FALSE)="Decline",FALSE),
    IFERROR(VLOOKUP(Q93,'Rating Factors'!$BQ:$BR,2,FALSE)="Decline",FALSE),
    IFERROR(VLOOKUP(R93,'Rating Factors'!$R:$S,2,FALSE)="Decline",FALSE),
    IFERROR(VLOOKUP(S93,'Rating Factors'!$T:$U,2,FALSE)="Decline",FALSE),
    IFERROR(VLOOKUP(T93,'Rating Factors'!$V:$W,2,FALSE)="Decline",FALSE),
    IFERROR(VLOOKUP(U93,'Rating Factors'!$X:$Y,2,FALSE)="Decline",FALSE),
    IFERROR(VLOOKUP(AI93,'Rating Factors'!$AB:$AC,2,FALSE)="Decline",FALSE),
    IFERROR(VLOOKUP(AK93,'Rating Factors'!$AK:$AL,2,FALSE)="Decline",FALSE),
    IFERROR(VLOOKUP(AL93,'Rating Factors'!$AP:$AQ,2,FALSE)="Decline",FALSE)
  ),
  "Declined",
  SUM(
    W93,
    X93,
    Y93*
      IFERROR(VLOOKUP(AD93,'Rating Factors'!$BS:$BT,2,FALSE),1),
    Z93*
      IFERROR(VLOOKUP(AD93,'Rating Factors'!$BS:$BT,2,FALSE),1)*
      IFERROR(VLOOKUP(AC93,'Rating Factors'!$BV:$BW,2,FALSE),1),
  )
  * IFERROR(VLOOKUP(F93,'Rating Factors'!$A:$B,2,FALSE),1)
  * IFERROR(VLOOKUP(G93,'Rating Factors'!$C:$D,2,FALSE),1)
  * IFERROR(VLOOKUP(J93,'Rating Factors'!$F:$G,2,FALSE),1)
  * IFERROR(VLOOKUP(K93,'Rating Factors'!$H:$I,2,FALSE),1)
  * IFERROR(VLOOKUP(L93,'Rating Factors'!$J:$K,2,FALSE),1)
  * IFERROR(VLOOKUP(M93,'Rating Factors'!$L:$M,2,FALSE),1)
  * IFERROR(VLOOKUP(N93,'Rating Factors'!$N:$O,2,FALSE),1)
  * IFERROR(VLOOKUP(O93,'Rating Factors'!$P:$Q,2,FALSE),1)
  * IFERROR(VLOOKUP(P93,'Rating Factors'!$BO:$BP,2,FALSE),1)
  * IFERROR(VLOOKUP(Q93,'Rating Factors'!$BQ:$BR,2,FALSE),1)
  * IFERROR(VLOOKUP(R93,'Rating Factors'!$R:$S,2,FALSE),1)
  * IFERROR(VLOOKUP(S93,'Rating Factors'!$T:$U,2,FALSE),1)
  * IFERROR(VLOOKUP(T93,'Rating Factors'!$V:$W,2,FALSE),1)
  * IFERROR(VLOOKUP(U93,'Rating Factors'!$X:$Y,2,FALSE),1)
  * IFERROR(VLOOKUP(AI93,'Rating Factors'!$AB:$AC,2,FALSE),1)
  * IFERROR(VLOOKUP(AK93,'Rating Factors'!$AK:$AL,2,FALSE),1)
  * IFERROR(VLOOKUP(AL93,'Rating Factors'!$AP:$AQ,2,FALSE),1)
  * IFERROR(LOOKUP(SUM($W$8:$Z$127),'Rating Factors'!$BD:$BD,'Rating Factors'!$BE:$BE),1))</f>
        <v>0</v>
      </c>
      <c r="AY93" s="158">
        <f>IF(OR(AQ93="Declined", AN93&lt;&gt;"Y"),
   0,
   N(AT93)*N('Rating Factors'!$AG$2)/100
)</f>
        <v>0</v>
      </c>
      <c r="AZ93" s="158">
        <f t="shared" si="22"/>
        <v>0</v>
      </c>
      <c r="BA93" s="142">
        <f>_xlfn.LET(
  _xlpm.base_ok, AND(AQ93&lt;&gt;"Declined", N(AQ93)&gt;0),
  _xlpm.is_full, EXACT(AG93, "Full Limit"),
  _xlpm.total_tiv, SUM($AT$8:$AT$127),
  _xlpm.loc_tiv, N(BE93),
  _xlpm.full_rate, N('Rating Factors'!$AO$10),
  _xlpm.min_per_loc, N('Rating Factors'!$AN$10),
  _xlpm.n_locs, N(E90),
  _xlpm.sched_prem, MAX(_xlpm.total_tiv*_xlpm.full_rate, _xlpm.min_per_loc*_xlpm.n_locs),
  _xlpm.alloc_prem, IF(_xlpm.total_tiv=0, 0, _xlpm.sched_prem * _xlpm.loc_tiv / _xlpm.total_tiv),
  _xlpm.cap_prem, IFERROR(VLOOKUP(AG93, 'Rating Factors'!$AM:$AN, 2, FALSE), 0),
  IF(_xlpm.base_ok,
     IF(_xlpm.is_full, _xlpm.alloc_prem, _xlpm.cap_prem),
     0
  )
)</f>
        <v>0</v>
      </c>
      <c r="BB93" s="143">
        <f t="shared" si="15"/>
        <v>0</v>
      </c>
      <c r="BC93" s="144">
        <f t="shared" si="23"/>
        <v>0</v>
      </c>
      <c r="BD93" s="145">
        <f t="shared" si="24"/>
        <v>0</v>
      </c>
      <c r="BE93" s="115">
        <f t="shared" si="16"/>
        <v>0</v>
      </c>
      <c r="BF93" s="106" t="str">
        <f t="shared" si="25"/>
        <v/>
      </c>
      <c r="BG93"/>
      <c r="BI93" s="67" t="str" cm="1">
        <f t="array" ref="BI93">IF(E93="","",LEFT(_xlfn.REGEXEXTRACT(UPPER(E93),"[A-Z][0-9][A-Z][ -]?[0-9][A-Z][0-9]"),3))</f>
        <v/>
      </c>
      <c r="BJ93" s="66" t="str">
        <f>IF(E93="","",_xlfn.XLOOKUP(BI93, CrestaP!B:B, CrestaP!D:D, ""))</f>
        <v/>
      </c>
      <c r="BK93" s="66" t="str">
        <f>IFERROR(
  INDEX(
    CrestaP!H4:M9,
    MATCH(J93, {"Frame","Brick Veneer","Joisted Masonry","Non-Combustible","Masonry Non-Combustible","Fire resistive"}, 0),
    MATCH(TEXT(BJ93,"@"), {"16","E5","E4","E3","E2","E1"}, 0)
  ),
  ""
)</f>
        <v/>
      </c>
    </row>
    <row r="94" spans="2:63" hidden="1" x14ac:dyDescent="0.25">
      <c r="B94"/>
      <c r="C94" s="24">
        <f t="shared" si="26"/>
        <v>87</v>
      </c>
      <c r="D94" s="25" t="s">
        <v>30</v>
      </c>
      <c r="E94" s="175"/>
      <c r="F94" s="89"/>
      <c r="G94" s="89"/>
      <c r="H94" s="104"/>
      <c r="I94" s="104"/>
      <c r="J94" s="89"/>
      <c r="K94" s="89"/>
      <c r="L94" s="89"/>
      <c r="M94" s="89"/>
      <c r="N94" s="89"/>
      <c r="O94" s="89"/>
      <c r="P94" s="104"/>
      <c r="Q94" s="104"/>
      <c r="R94" s="89"/>
      <c r="S94" s="89"/>
      <c r="T94" s="89"/>
      <c r="U94" s="25"/>
      <c r="V94" s="119"/>
      <c r="W94" s="19"/>
      <c r="X94" s="104"/>
      <c r="Y94" s="104"/>
      <c r="Z94" s="104"/>
      <c r="AA94" s="19"/>
      <c r="AB94" s="160" t="str">
        <f>IF(OR(AA94="",G94=""),"",VLOOKUP(G94,'Rating Factors'!$C:$E,3,FALSE)*AA94)</f>
        <v/>
      </c>
      <c r="AC94" s="20"/>
      <c r="AD94" s="20"/>
      <c r="AE94" s="104"/>
      <c r="AF94" s="96"/>
      <c r="AG94" s="20"/>
      <c r="AH94" s="119"/>
      <c r="AI94" s="19"/>
      <c r="AJ94" s="19"/>
      <c r="AK94" s="19"/>
      <c r="AL94" s="96"/>
      <c r="AM94" s="119"/>
      <c r="AN94" s="19"/>
      <c r="AO94" s="20"/>
      <c r="AP94" s="119"/>
      <c r="AQ94" s="115">
        <f t="shared" si="17"/>
        <v>0</v>
      </c>
      <c r="AR94" s="171">
        <f>IF(OR(Z94="",N(Z94)=0),
IF(
N(H94)+N(I94)=0,
0,
MAX(
IFERROR(VLOOKUP(AE94,'Rating Factors'!$BJ:$BK,2,FALSE),0),
((N(H94)*'Rating Factors'!$BF$2)+(N(I94)*'Rating Factors'!$BG$2))
*IFERROR(VLOOKUP(AE94,'Rating Factors'!$Z:$AA,2,FALSE),1)
*IFERROR(VLOOKUP(AJ94,'Rating Factors'!$AD:$AE,2,FALSE),1)
*IFERROR(VLOOKUP(SUM($H$8:$H$127),'Rating Factors'!$BM:$BN,2),1)
*IFERROR(VLOOKUP(SUM($I$8:$I$127),'Rating Factors'!$BH:$BI,2),1)
)
),
MAX(IFERROR(VLOOKUP(AE94,'Rating Factors'!$BJ:$BL,3,FALSE),0),
((N(I94)*'Rating Factors'!$BG$2))
*IFERROR(VLOOKUP(AE94,'Rating Factors'!$Z:$AA,2,FALSE),1)
*IFERROR(VLOOKUP(AJ94,'Rating Factors'!$AD:$AE,2,FALSE),1)
*N(AA94)* IFERROR(VLOOKUP(G94,'Rating Factors'!$C:$D,2,FALSE),1)*0.0045
))</f>
        <v>0</v>
      </c>
      <c r="AS94" s="172">
        <f t="shared" si="18"/>
        <v>0</v>
      </c>
      <c r="AT94" s="115">
        <f t="shared" si="19"/>
        <v>0</v>
      </c>
      <c r="AU94" s="173" t="str">
        <f t="shared" si="20"/>
        <v/>
      </c>
      <c r="AV94" s="174" t="str">
        <f t="shared" si="21"/>
        <v/>
      </c>
      <c r="AW94" s="119"/>
      <c r="AX94" s="141">
        <f>IF(
  OR(
    IFERROR(VLOOKUP(F94,'Rating Factors'!$A:$B,2,FALSE)="Decline",FALSE),
    IFERROR(VLOOKUP(G94,'Rating Factors'!$C:$D,2,FALSE)="Decline",FALSE),
    IFERROR(VLOOKUP(J94,'Rating Factors'!$F:$G,2,FALSE)="Decline",FALSE),
    IFERROR(VLOOKUP(K94,'Rating Factors'!$H:$I,2,FALSE)="Decline",FALSE),
    IFERROR(VLOOKUP(L94,'Rating Factors'!$J:$K,2,FALSE)="Decline",FALSE),
    IFERROR(VLOOKUP(M94,'Rating Factors'!$L:$M,2,FALSE)="Decline",FALSE),
    IFERROR(VLOOKUP(N94,'Rating Factors'!$N:$O,2,FALSE)="Decline",FALSE),
    IFERROR(VLOOKUP(O94,'Rating Factors'!$P:$Q,2,FALSE)="Decline",FALSE),
    IFERROR(VLOOKUP(P94,'Rating Factors'!$BO:$BP,2,FALSE)="Decline",FALSE),
    IFERROR(VLOOKUP(Q94,'Rating Factors'!$BQ:$BR,2,FALSE)="Decline",FALSE),
    IFERROR(VLOOKUP(R94,'Rating Factors'!$R:$S,2,FALSE)="Decline",FALSE),
    IFERROR(VLOOKUP(S94,'Rating Factors'!$T:$U,2,FALSE)="Decline",FALSE),
    IFERROR(VLOOKUP(T94,'Rating Factors'!$V:$W,2,FALSE)="Decline",FALSE),
    IFERROR(VLOOKUP(U94,'Rating Factors'!$X:$Y,2,FALSE)="Decline",FALSE),
    IFERROR(VLOOKUP(AI94,'Rating Factors'!$AB:$AC,2,FALSE)="Decline",FALSE),
    IFERROR(VLOOKUP(AK94,'Rating Factors'!$AK:$AL,2,FALSE)="Decline",FALSE),
    IFERROR(VLOOKUP(AL94,'Rating Factors'!$AP:$AQ,2,FALSE)="Decline",FALSE)
  ),
  "Declined",
  SUM(
    W94,
    X94,
    Y94*
      IFERROR(VLOOKUP(AD94,'Rating Factors'!$BS:$BT,2,FALSE),1),
    Z94*
      IFERROR(VLOOKUP(AD94,'Rating Factors'!$BS:$BT,2,FALSE),1)*
      IFERROR(VLOOKUP(AC94,'Rating Factors'!$BV:$BW,2,FALSE),1),
  )
  * IFERROR(VLOOKUP(F94,'Rating Factors'!$A:$B,2,FALSE),1)
  * IFERROR(VLOOKUP(G94,'Rating Factors'!$C:$D,2,FALSE),1)
  * IFERROR(VLOOKUP(J94,'Rating Factors'!$F:$G,2,FALSE),1)
  * IFERROR(VLOOKUP(K94,'Rating Factors'!$H:$I,2,FALSE),1)
  * IFERROR(VLOOKUP(L94,'Rating Factors'!$J:$K,2,FALSE),1)
  * IFERROR(VLOOKUP(M94,'Rating Factors'!$L:$M,2,FALSE),1)
  * IFERROR(VLOOKUP(N94,'Rating Factors'!$N:$O,2,FALSE),1)
  * IFERROR(VLOOKUP(O94,'Rating Factors'!$P:$Q,2,FALSE),1)
  * IFERROR(VLOOKUP(P94,'Rating Factors'!$BO:$BP,2,FALSE),1)
  * IFERROR(VLOOKUP(Q94,'Rating Factors'!$BQ:$BR,2,FALSE),1)
  * IFERROR(VLOOKUP(R94,'Rating Factors'!$R:$S,2,FALSE),1)
  * IFERROR(VLOOKUP(S94,'Rating Factors'!$T:$U,2,FALSE),1)
  * IFERROR(VLOOKUP(T94,'Rating Factors'!$V:$W,2,FALSE),1)
  * IFERROR(VLOOKUP(U94,'Rating Factors'!$X:$Y,2,FALSE),1)
  * IFERROR(VLOOKUP(AI94,'Rating Factors'!$AB:$AC,2,FALSE),1)
  * IFERROR(VLOOKUP(AK94,'Rating Factors'!$AK:$AL,2,FALSE),1)
  * IFERROR(VLOOKUP(AL94,'Rating Factors'!$AP:$AQ,2,FALSE),1)
  * IFERROR(LOOKUP(SUM($W$8:$Z$127),'Rating Factors'!$BD:$BD,'Rating Factors'!$BE:$BE),1))</f>
        <v>0</v>
      </c>
      <c r="AY94" s="158">
        <f>IF(OR(AQ94="Declined", AN94&lt;&gt;"Y"),
   0,
   N(AT94)*N('Rating Factors'!$AG$2)/100
)</f>
        <v>0</v>
      </c>
      <c r="AZ94" s="158">
        <f t="shared" si="22"/>
        <v>0</v>
      </c>
      <c r="BA94" s="142">
        <f>_xlfn.LET(
  _xlpm.base_ok, AND(AQ94&lt;&gt;"Declined", N(AQ94)&gt;0),
  _xlpm.is_full, EXACT(AG94, "Full Limit"),
  _xlpm.total_tiv, SUM($AT$8:$AT$127),
  _xlpm.loc_tiv, N(BE94),
  _xlpm.full_rate, N('Rating Factors'!$AO$10),
  _xlpm.min_per_loc, N('Rating Factors'!$AN$10),
  _xlpm.n_locs, N(E91),
  _xlpm.sched_prem, MAX(_xlpm.total_tiv*_xlpm.full_rate, _xlpm.min_per_loc*_xlpm.n_locs),
  _xlpm.alloc_prem, IF(_xlpm.total_tiv=0, 0, _xlpm.sched_prem * _xlpm.loc_tiv / _xlpm.total_tiv),
  _xlpm.cap_prem, IFERROR(VLOOKUP(AG94, 'Rating Factors'!$AM:$AN, 2, FALSE), 0),
  IF(_xlpm.base_ok,
     IF(_xlpm.is_full, _xlpm.alloc_prem, _xlpm.cap_prem),
     0
  )
)</f>
        <v>0</v>
      </c>
      <c r="BB94" s="143">
        <f t="shared" si="15"/>
        <v>0</v>
      </c>
      <c r="BC94" s="144">
        <f t="shared" si="23"/>
        <v>0</v>
      </c>
      <c r="BD94" s="145">
        <f t="shared" si="24"/>
        <v>0</v>
      </c>
      <c r="BE94" s="115">
        <f t="shared" si="16"/>
        <v>0</v>
      </c>
      <c r="BF94" s="106" t="str">
        <f t="shared" si="25"/>
        <v/>
      </c>
      <c r="BG94"/>
      <c r="BI94" s="67" t="str" cm="1">
        <f t="array" ref="BI94">IF(E94="","",LEFT(_xlfn.REGEXEXTRACT(UPPER(E94),"[A-Z][0-9][A-Z][ -]?[0-9][A-Z][0-9]"),3))</f>
        <v/>
      </c>
      <c r="BJ94" s="66" t="str">
        <f>IF(E94="","",_xlfn.XLOOKUP(BI94, CrestaP!B:B, CrestaP!D:D, ""))</f>
        <v/>
      </c>
      <c r="BK94" s="66" t="str">
        <f>IFERROR(
  INDEX(
    CrestaP!H4:M9,
    MATCH(J94, {"Frame","Brick Veneer","Joisted Masonry","Non-Combustible","Masonry Non-Combustible","Fire resistive"}, 0),
    MATCH(TEXT(BJ94,"@"), {"16","E5","E4","E3","E2","E1"}, 0)
  ),
  ""
)</f>
        <v/>
      </c>
    </row>
    <row r="95" spans="2:63" hidden="1" x14ac:dyDescent="0.25">
      <c r="B95"/>
      <c r="C95" s="24">
        <f t="shared" si="26"/>
        <v>88</v>
      </c>
      <c r="D95" s="25" t="s">
        <v>30</v>
      </c>
      <c r="E95" s="175"/>
      <c r="F95" s="89"/>
      <c r="G95" s="89"/>
      <c r="H95" s="104"/>
      <c r="I95" s="104"/>
      <c r="J95" s="89"/>
      <c r="K95" s="89"/>
      <c r="L95" s="89"/>
      <c r="M95" s="89"/>
      <c r="N95" s="89"/>
      <c r="O95" s="89"/>
      <c r="P95" s="104"/>
      <c r="Q95" s="104"/>
      <c r="R95" s="89"/>
      <c r="S95" s="89"/>
      <c r="T95" s="89"/>
      <c r="U95" s="25"/>
      <c r="V95" s="119"/>
      <c r="W95" s="19"/>
      <c r="X95" s="104"/>
      <c r="Y95" s="104"/>
      <c r="Z95" s="104"/>
      <c r="AA95" s="19"/>
      <c r="AB95" s="160" t="str">
        <f>IF(OR(AA95="",G95=""),"",VLOOKUP(G95,'Rating Factors'!$C:$E,3,FALSE)*AA95)</f>
        <v/>
      </c>
      <c r="AC95" s="20"/>
      <c r="AD95" s="20"/>
      <c r="AE95" s="104"/>
      <c r="AF95" s="96"/>
      <c r="AG95" s="20"/>
      <c r="AH95" s="119"/>
      <c r="AI95" s="19"/>
      <c r="AJ95" s="19"/>
      <c r="AK95" s="19"/>
      <c r="AL95" s="96"/>
      <c r="AM95" s="119"/>
      <c r="AN95" s="19"/>
      <c r="AO95" s="20"/>
      <c r="AP95" s="119"/>
      <c r="AQ95" s="115">
        <f t="shared" si="17"/>
        <v>0</v>
      </c>
      <c r="AR95" s="171">
        <f>IF(OR(Z95="",N(Z95)=0),
IF(
N(H95)+N(I95)=0,
0,
MAX(
IFERROR(VLOOKUP(AE95,'Rating Factors'!$BJ:$BK,2,FALSE),0),
((N(H95)*'Rating Factors'!$BF$2)+(N(I95)*'Rating Factors'!$BG$2))
*IFERROR(VLOOKUP(AE95,'Rating Factors'!$Z:$AA,2,FALSE),1)
*IFERROR(VLOOKUP(AJ95,'Rating Factors'!$AD:$AE,2,FALSE),1)
*IFERROR(VLOOKUP(SUM($H$8:$H$127),'Rating Factors'!$BM:$BN,2),1)
*IFERROR(VLOOKUP(SUM($I$8:$I$127),'Rating Factors'!$BH:$BI,2),1)
)
),
MAX(IFERROR(VLOOKUP(AE95,'Rating Factors'!$BJ:$BL,3,FALSE),0),
((N(I95)*'Rating Factors'!$BG$2))
*IFERROR(VLOOKUP(AE95,'Rating Factors'!$Z:$AA,2,FALSE),1)
*IFERROR(VLOOKUP(AJ95,'Rating Factors'!$AD:$AE,2,FALSE),1)
*N(AA95)* IFERROR(VLOOKUP(G95,'Rating Factors'!$C:$D,2,FALSE),1)*0.0045
))</f>
        <v>0</v>
      </c>
      <c r="AS95" s="172">
        <f t="shared" si="18"/>
        <v>0</v>
      </c>
      <c r="AT95" s="115">
        <f t="shared" si="19"/>
        <v>0</v>
      </c>
      <c r="AU95" s="173" t="str">
        <f t="shared" si="20"/>
        <v/>
      </c>
      <c r="AV95" s="174" t="str">
        <f t="shared" si="21"/>
        <v/>
      </c>
      <c r="AW95" s="119"/>
      <c r="AX95" s="141">
        <f>IF(
  OR(
    IFERROR(VLOOKUP(F95,'Rating Factors'!$A:$B,2,FALSE)="Decline",FALSE),
    IFERROR(VLOOKUP(G95,'Rating Factors'!$C:$D,2,FALSE)="Decline",FALSE),
    IFERROR(VLOOKUP(J95,'Rating Factors'!$F:$G,2,FALSE)="Decline",FALSE),
    IFERROR(VLOOKUP(K95,'Rating Factors'!$H:$I,2,FALSE)="Decline",FALSE),
    IFERROR(VLOOKUP(L95,'Rating Factors'!$J:$K,2,FALSE)="Decline",FALSE),
    IFERROR(VLOOKUP(M95,'Rating Factors'!$L:$M,2,FALSE)="Decline",FALSE),
    IFERROR(VLOOKUP(N95,'Rating Factors'!$N:$O,2,FALSE)="Decline",FALSE),
    IFERROR(VLOOKUP(O95,'Rating Factors'!$P:$Q,2,FALSE)="Decline",FALSE),
    IFERROR(VLOOKUP(P95,'Rating Factors'!$BO:$BP,2,FALSE)="Decline",FALSE),
    IFERROR(VLOOKUP(Q95,'Rating Factors'!$BQ:$BR,2,FALSE)="Decline",FALSE),
    IFERROR(VLOOKUP(R95,'Rating Factors'!$R:$S,2,FALSE)="Decline",FALSE),
    IFERROR(VLOOKUP(S95,'Rating Factors'!$T:$U,2,FALSE)="Decline",FALSE),
    IFERROR(VLOOKUP(T95,'Rating Factors'!$V:$W,2,FALSE)="Decline",FALSE),
    IFERROR(VLOOKUP(U95,'Rating Factors'!$X:$Y,2,FALSE)="Decline",FALSE),
    IFERROR(VLOOKUP(AI95,'Rating Factors'!$AB:$AC,2,FALSE)="Decline",FALSE),
    IFERROR(VLOOKUP(AK95,'Rating Factors'!$AK:$AL,2,FALSE)="Decline",FALSE),
    IFERROR(VLOOKUP(AL95,'Rating Factors'!$AP:$AQ,2,FALSE)="Decline",FALSE)
  ),
  "Declined",
  SUM(
    W95,
    X95,
    Y95*
      IFERROR(VLOOKUP(AD95,'Rating Factors'!$BS:$BT,2,FALSE),1),
    Z95*
      IFERROR(VLOOKUP(AD95,'Rating Factors'!$BS:$BT,2,FALSE),1)*
      IFERROR(VLOOKUP(AC95,'Rating Factors'!$BV:$BW,2,FALSE),1),
  )
  * IFERROR(VLOOKUP(F95,'Rating Factors'!$A:$B,2,FALSE),1)
  * IFERROR(VLOOKUP(G95,'Rating Factors'!$C:$D,2,FALSE),1)
  * IFERROR(VLOOKUP(J95,'Rating Factors'!$F:$G,2,FALSE),1)
  * IFERROR(VLOOKUP(K95,'Rating Factors'!$H:$I,2,FALSE),1)
  * IFERROR(VLOOKUP(L95,'Rating Factors'!$J:$K,2,FALSE),1)
  * IFERROR(VLOOKUP(M95,'Rating Factors'!$L:$M,2,FALSE),1)
  * IFERROR(VLOOKUP(N95,'Rating Factors'!$N:$O,2,FALSE),1)
  * IFERROR(VLOOKUP(O95,'Rating Factors'!$P:$Q,2,FALSE),1)
  * IFERROR(VLOOKUP(P95,'Rating Factors'!$BO:$BP,2,FALSE),1)
  * IFERROR(VLOOKUP(Q95,'Rating Factors'!$BQ:$BR,2,FALSE),1)
  * IFERROR(VLOOKUP(R95,'Rating Factors'!$R:$S,2,FALSE),1)
  * IFERROR(VLOOKUP(S95,'Rating Factors'!$T:$U,2,FALSE),1)
  * IFERROR(VLOOKUP(T95,'Rating Factors'!$V:$W,2,FALSE),1)
  * IFERROR(VLOOKUP(U95,'Rating Factors'!$X:$Y,2,FALSE),1)
  * IFERROR(VLOOKUP(AI95,'Rating Factors'!$AB:$AC,2,FALSE),1)
  * IFERROR(VLOOKUP(AK95,'Rating Factors'!$AK:$AL,2,FALSE),1)
  * IFERROR(VLOOKUP(AL95,'Rating Factors'!$AP:$AQ,2,FALSE),1)
  * IFERROR(LOOKUP(SUM($W$8:$Z$127),'Rating Factors'!$BD:$BD,'Rating Factors'!$BE:$BE),1))</f>
        <v>0</v>
      </c>
      <c r="AY95" s="158">
        <f>IF(OR(AQ95="Declined", AN95&lt;&gt;"Y"),
   0,
   N(AT95)*N('Rating Factors'!$AG$2)/100
)</f>
        <v>0</v>
      </c>
      <c r="AZ95" s="158">
        <f t="shared" si="22"/>
        <v>0</v>
      </c>
      <c r="BA95" s="142">
        <f>_xlfn.LET(
  _xlpm.base_ok, AND(AQ95&lt;&gt;"Declined", N(AQ95)&gt;0),
  _xlpm.is_full, EXACT(AG95, "Full Limit"),
  _xlpm.total_tiv, SUM($AT$8:$AT$127),
  _xlpm.loc_tiv, N(BE95),
  _xlpm.full_rate, N('Rating Factors'!$AO$10),
  _xlpm.min_per_loc, N('Rating Factors'!$AN$10),
  _xlpm.n_locs, N(E92),
  _xlpm.sched_prem, MAX(_xlpm.total_tiv*_xlpm.full_rate, _xlpm.min_per_loc*_xlpm.n_locs),
  _xlpm.alloc_prem, IF(_xlpm.total_tiv=0, 0, _xlpm.sched_prem * _xlpm.loc_tiv / _xlpm.total_tiv),
  _xlpm.cap_prem, IFERROR(VLOOKUP(AG95, 'Rating Factors'!$AM:$AN, 2, FALSE), 0),
  IF(_xlpm.base_ok,
     IF(_xlpm.is_full, _xlpm.alloc_prem, _xlpm.cap_prem),
     0
  )
)</f>
        <v>0</v>
      </c>
      <c r="BB95" s="143">
        <f t="shared" si="15"/>
        <v>0</v>
      </c>
      <c r="BC95" s="144">
        <f t="shared" si="23"/>
        <v>0</v>
      </c>
      <c r="BD95" s="145">
        <f t="shared" si="24"/>
        <v>0</v>
      </c>
      <c r="BE95" s="115">
        <f t="shared" si="16"/>
        <v>0</v>
      </c>
      <c r="BF95" s="106" t="str">
        <f t="shared" si="25"/>
        <v/>
      </c>
      <c r="BG95"/>
      <c r="BI95" s="67" t="str" cm="1">
        <f t="array" ref="BI95">IF(E95="","",LEFT(_xlfn.REGEXEXTRACT(UPPER(E95),"[A-Z][0-9][A-Z][ -]?[0-9][A-Z][0-9]"),3))</f>
        <v/>
      </c>
      <c r="BJ95" s="66" t="str">
        <f>IF(E95="","",_xlfn.XLOOKUP(BI95, CrestaP!B:B, CrestaP!D:D, ""))</f>
        <v/>
      </c>
      <c r="BK95" s="66" t="str">
        <f>IFERROR(
  INDEX(
    CrestaP!H4:M9,
    MATCH(J95, {"Frame","Brick Veneer","Joisted Masonry","Non-Combustible","Masonry Non-Combustible","Fire resistive"}, 0),
    MATCH(TEXT(BJ95,"@"), {"16","E5","E4","E3","E2","E1"}, 0)
  ),
  ""
)</f>
        <v/>
      </c>
    </row>
    <row r="96" spans="2:63" hidden="1" x14ac:dyDescent="0.25">
      <c r="B96"/>
      <c r="C96" s="24">
        <f t="shared" si="26"/>
        <v>89</v>
      </c>
      <c r="D96" s="25" t="s">
        <v>30</v>
      </c>
      <c r="E96" s="175"/>
      <c r="F96" s="89"/>
      <c r="G96" s="89"/>
      <c r="H96" s="104"/>
      <c r="I96" s="104"/>
      <c r="J96" s="89"/>
      <c r="K96" s="89"/>
      <c r="L96" s="89"/>
      <c r="M96" s="89"/>
      <c r="N96" s="89"/>
      <c r="O96" s="89"/>
      <c r="P96" s="104"/>
      <c r="Q96" s="104"/>
      <c r="R96" s="89"/>
      <c r="S96" s="89"/>
      <c r="T96" s="89"/>
      <c r="U96" s="25"/>
      <c r="V96" s="119"/>
      <c r="W96" s="19"/>
      <c r="X96" s="104"/>
      <c r="Y96" s="104"/>
      <c r="Z96" s="104"/>
      <c r="AA96" s="19"/>
      <c r="AB96" s="160" t="str">
        <f>IF(OR(AA96="",G96=""),"",VLOOKUP(G96,'Rating Factors'!$C:$E,3,FALSE)*AA96)</f>
        <v/>
      </c>
      <c r="AC96" s="20"/>
      <c r="AD96" s="20"/>
      <c r="AE96" s="104"/>
      <c r="AF96" s="96"/>
      <c r="AG96" s="20"/>
      <c r="AH96" s="119"/>
      <c r="AI96" s="19"/>
      <c r="AJ96" s="19"/>
      <c r="AK96" s="19"/>
      <c r="AL96" s="96"/>
      <c r="AM96" s="119"/>
      <c r="AN96" s="19"/>
      <c r="AO96" s="20"/>
      <c r="AP96" s="119"/>
      <c r="AQ96" s="115">
        <f t="shared" si="17"/>
        <v>0</v>
      </c>
      <c r="AR96" s="171">
        <f>IF(OR(Z96="",N(Z96)=0),
IF(
N(H96)+N(I96)=0,
0,
MAX(
IFERROR(VLOOKUP(AE96,'Rating Factors'!$BJ:$BK,2,FALSE),0),
((N(H96)*'Rating Factors'!$BF$2)+(N(I96)*'Rating Factors'!$BG$2))
*IFERROR(VLOOKUP(AE96,'Rating Factors'!$Z:$AA,2,FALSE),1)
*IFERROR(VLOOKUP(AJ96,'Rating Factors'!$AD:$AE,2,FALSE),1)
*IFERROR(VLOOKUP(SUM($H$8:$H$127),'Rating Factors'!$BM:$BN,2),1)
*IFERROR(VLOOKUP(SUM($I$8:$I$127),'Rating Factors'!$BH:$BI,2),1)
)
),
MAX(IFERROR(VLOOKUP(AE96,'Rating Factors'!$BJ:$BL,3,FALSE),0),
((N(I96)*'Rating Factors'!$BG$2))
*IFERROR(VLOOKUP(AE96,'Rating Factors'!$Z:$AA,2,FALSE),1)
*IFERROR(VLOOKUP(AJ96,'Rating Factors'!$AD:$AE,2,FALSE),1)
*N(AA96)* IFERROR(VLOOKUP(G96,'Rating Factors'!$C:$D,2,FALSE),1)*0.0045
))</f>
        <v>0</v>
      </c>
      <c r="AS96" s="172">
        <f t="shared" si="18"/>
        <v>0</v>
      </c>
      <c r="AT96" s="115">
        <f t="shared" si="19"/>
        <v>0</v>
      </c>
      <c r="AU96" s="173" t="str">
        <f t="shared" si="20"/>
        <v/>
      </c>
      <c r="AV96" s="174" t="str">
        <f t="shared" si="21"/>
        <v/>
      </c>
      <c r="AW96" s="119"/>
      <c r="AX96" s="141">
        <f>IF(
  OR(
    IFERROR(VLOOKUP(F96,'Rating Factors'!$A:$B,2,FALSE)="Decline",FALSE),
    IFERROR(VLOOKUP(G96,'Rating Factors'!$C:$D,2,FALSE)="Decline",FALSE),
    IFERROR(VLOOKUP(J96,'Rating Factors'!$F:$G,2,FALSE)="Decline",FALSE),
    IFERROR(VLOOKUP(K96,'Rating Factors'!$H:$I,2,FALSE)="Decline",FALSE),
    IFERROR(VLOOKUP(L96,'Rating Factors'!$J:$K,2,FALSE)="Decline",FALSE),
    IFERROR(VLOOKUP(M96,'Rating Factors'!$L:$M,2,FALSE)="Decline",FALSE),
    IFERROR(VLOOKUP(N96,'Rating Factors'!$N:$O,2,FALSE)="Decline",FALSE),
    IFERROR(VLOOKUP(O96,'Rating Factors'!$P:$Q,2,FALSE)="Decline",FALSE),
    IFERROR(VLOOKUP(P96,'Rating Factors'!$BO:$BP,2,FALSE)="Decline",FALSE),
    IFERROR(VLOOKUP(Q96,'Rating Factors'!$BQ:$BR,2,FALSE)="Decline",FALSE),
    IFERROR(VLOOKUP(R96,'Rating Factors'!$R:$S,2,FALSE)="Decline",FALSE),
    IFERROR(VLOOKUP(S96,'Rating Factors'!$T:$U,2,FALSE)="Decline",FALSE),
    IFERROR(VLOOKUP(T96,'Rating Factors'!$V:$W,2,FALSE)="Decline",FALSE),
    IFERROR(VLOOKUP(U96,'Rating Factors'!$X:$Y,2,FALSE)="Decline",FALSE),
    IFERROR(VLOOKUP(AI96,'Rating Factors'!$AB:$AC,2,FALSE)="Decline",FALSE),
    IFERROR(VLOOKUP(AK96,'Rating Factors'!$AK:$AL,2,FALSE)="Decline",FALSE),
    IFERROR(VLOOKUP(AL96,'Rating Factors'!$AP:$AQ,2,FALSE)="Decline",FALSE)
  ),
  "Declined",
  SUM(
    W96,
    X96,
    Y96*
      IFERROR(VLOOKUP(AD96,'Rating Factors'!$BS:$BT,2,FALSE),1),
    Z96*
      IFERROR(VLOOKUP(AD96,'Rating Factors'!$BS:$BT,2,FALSE),1)*
      IFERROR(VLOOKUP(AC96,'Rating Factors'!$BV:$BW,2,FALSE),1),
  )
  * IFERROR(VLOOKUP(F96,'Rating Factors'!$A:$B,2,FALSE),1)
  * IFERROR(VLOOKUP(G96,'Rating Factors'!$C:$D,2,FALSE),1)
  * IFERROR(VLOOKUP(J96,'Rating Factors'!$F:$G,2,FALSE),1)
  * IFERROR(VLOOKUP(K96,'Rating Factors'!$H:$I,2,FALSE),1)
  * IFERROR(VLOOKUP(L96,'Rating Factors'!$J:$K,2,FALSE),1)
  * IFERROR(VLOOKUP(M96,'Rating Factors'!$L:$M,2,FALSE),1)
  * IFERROR(VLOOKUP(N96,'Rating Factors'!$N:$O,2,FALSE),1)
  * IFERROR(VLOOKUP(O96,'Rating Factors'!$P:$Q,2,FALSE),1)
  * IFERROR(VLOOKUP(P96,'Rating Factors'!$BO:$BP,2,FALSE),1)
  * IFERROR(VLOOKUP(Q96,'Rating Factors'!$BQ:$BR,2,FALSE),1)
  * IFERROR(VLOOKUP(R96,'Rating Factors'!$R:$S,2,FALSE),1)
  * IFERROR(VLOOKUP(S96,'Rating Factors'!$T:$U,2,FALSE),1)
  * IFERROR(VLOOKUP(T96,'Rating Factors'!$V:$W,2,FALSE),1)
  * IFERROR(VLOOKUP(U96,'Rating Factors'!$X:$Y,2,FALSE),1)
  * IFERROR(VLOOKUP(AI96,'Rating Factors'!$AB:$AC,2,FALSE),1)
  * IFERROR(VLOOKUP(AK96,'Rating Factors'!$AK:$AL,2,FALSE),1)
  * IFERROR(VLOOKUP(AL96,'Rating Factors'!$AP:$AQ,2,FALSE),1)
  * IFERROR(LOOKUP(SUM($W$8:$Z$127),'Rating Factors'!$BD:$BD,'Rating Factors'!$BE:$BE),1))</f>
        <v>0</v>
      </c>
      <c r="AY96" s="158">
        <f>IF(OR(AQ96="Declined", AN96&lt;&gt;"Y"),
   0,
   N(AT96)*N('Rating Factors'!$AG$2)/100
)</f>
        <v>0</v>
      </c>
      <c r="AZ96" s="158">
        <f t="shared" si="22"/>
        <v>0</v>
      </c>
      <c r="BA96" s="142">
        <f>_xlfn.LET(
  _xlpm.base_ok, AND(AQ96&lt;&gt;"Declined", N(AQ96)&gt;0),
  _xlpm.is_full, EXACT(AG96, "Full Limit"),
  _xlpm.total_tiv, SUM($AT$8:$AT$127),
  _xlpm.loc_tiv, N(BE96),
  _xlpm.full_rate, N('Rating Factors'!$AO$10),
  _xlpm.min_per_loc, N('Rating Factors'!$AN$10),
  _xlpm.n_locs, N(E93),
  _xlpm.sched_prem, MAX(_xlpm.total_tiv*_xlpm.full_rate, _xlpm.min_per_loc*_xlpm.n_locs),
  _xlpm.alloc_prem, IF(_xlpm.total_tiv=0, 0, _xlpm.sched_prem * _xlpm.loc_tiv / _xlpm.total_tiv),
  _xlpm.cap_prem, IFERROR(VLOOKUP(AG96, 'Rating Factors'!$AM:$AN, 2, FALSE), 0),
  IF(_xlpm.base_ok,
     IF(_xlpm.is_full, _xlpm.alloc_prem, _xlpm.cap_prem),
     0
  )
)</f>
        <v>0</v>
      </c>
      <c r="BB96" s="143">
        <f t="shared" si="15"/>
        <v>0</v>
      </c>
      <c r="BC96" s="144">
        <f t="shared" si="23"/>
        <v>0</v>
      </c>
      <c r="BD96" s="145">
        <f t="shared" si="24"/>
        <v>0</v>
      </c>
      <c r="BE96" s="115">
        <f t="shared" si="16"/>
        <v>0</v>
      </c>
      <c r="BF96" s="106" t="str">
        <f t="shared" si="25"/>
        <v/>
      </c>
      <c r="BG96"/>
      <c r="BI96" s="67" t="str" cm="1">
        <f t="array" ref="BI96">IF(E96="","",LEFT(_xlfn.REGEXEXTRACT(UPPER(E96),"[A-Z][0-9][A-Z][ -]?[0-9][A-Z][0-9]"),3))</f>
        <v/>
      </c>
      <c r="BJ96" s="66" t="str">
        <f>IF(E96="","",_xlfn.XLOOKUP(BI96, CrestaP!B:B, CrestaP!D:D, ""))</f>
        <v/>
      </c>
      <c r="BK96" s="66" t="str">
        <f>IFERROR(
  INDEX(
    CrestaP!H4:M9,
    MATCH(J96, {"Frame","Brick Veneer","Joisted Masonry","Non-Combustible","Masonry Non-Combustible","Fire resistive"}, 0),
    MATCH(TEXT(BJ96,"@"), {"16","E5","E4","E3","E2","E1"}, 0)
  ),
  ""
)</f>
        <v/>
      </c>
    </row>
    <row r="97" spans="2:63" hidden="1" x14ac:dyDescent="0.25">
      <c r="B97"/>
      <c r="C97" s="24">
        <f t="shared" si="26"/>
        <v>90</v>
      </c>
      <c r="D97" s="25" t="s">
        <v>30</v>
      </c>
      <c r="E97" s="175"/>
      <c r="F97" s="89"/>
      <c r="G97" s="89"/>
      <c r="H97" s="104"/>
      <c r="I97" s="104"/>
      <c r="J97" s="89"/>
      <c r="K97" s="89"/>
      <c r="L97" s="89"/>
      <c r="M97" s="89"/>
      <c r="N97" s="89"/>
      <c r="O97" s="89"/>
      <c r="P97" s="104"/>
      <c r="Q97" s="104"/>
      <c r="R97" s="89"/>
      <c r="S97" s="89"/>
      <c r="T97" s="89"/>
      <c r="U97" s="25"/>
      <c r="V97" s="119"/>
      <c r="W97" s="19"/>
      <c r="X97" s="104"/>
      <c r="Y97" s="104"/>
      <c r="Z97" s="104"/>
      <c r="AA97" s="19"/>
      <c r="AB97" s="160" t="str">
        <f>IF(OR(AA97="",G97=""),"",VLOOKUP(G97,'Rating Factors'!$C:$E,3,FALSE)*AA97)</f>
        <v/>
      </c>
      <c r="AC97" s="20"/>
      <c r="AD97" s="20"/>
      <c r="AE97" s="104"/>
      <c r="AF97" s="96"/>
      <c r="AG97" s="20"/>
      <c r="AH97" s="119"/>
      <c r="AI97" s="19"/>
      <c r="AJ97" s="19"/>
      <c r="AK97" s="19"/>
      <c r="AL97" s="96"/>
      <c r="AM97" s="119"/>
      <c r="AN97" s="19"/>
      <c r="AO97" s="20"/>
      <c r="AP97" s="119"/>
      <c r="AQ97" s="115">
        <f t="shared" si="17"/>
        <v>0</v>
      </c>
      <c r="AR97" s="171">
        <f>IF(OR(Z97="",N(Z97)=0),
IF(
N(H97)+N(I97)=0,
0,
MAX(
IFERROR(VLOOKUP(AE97,'Rating Factors'!$BJ:$BK,2,FALSE),0),
((N(H97)*'Rating Factors'!$BF$2)+(N(I97)*'Rating Factors'!$BG$2))
*IFERROR(VLOOKUP(AE97,'Rating Factors'!$Z:$AA,2,FALSE),1)
*IFERROR(VLOOKUP(AJ97,'Rating Factors'!$AD:$AE,2,FALSE),1)
*IFERROR(VLOOKUP(SUM($H$8:$H$127),'Rating Factors'!$BM:$BN,2),1)
*IFERROR(VLOOKUP(SUM($I$8:$I$127),'Rating Factors'!$BH:$BI,2),1)
)
),
MAX(IFERROR(VLOOKUP(AE97,'Rating Factors'!$BJ:$BL,3,FALSE),0),
((N(I97)*'Rating Factors'!$BG$2))
*IFERROR(VLOOKUP(AE97,'Rating Factors'!$Z:$AA,2,FALSE),1)
*IFERROR(VLOOKUP(AJ97,'Rating Factors'!$AD:$AE,2,FALSE),1)
*N(AA97)* IFERROR(VLOOKUP(G97,'Rating Factors'!$C:$D,2,FALSE),1)*0.0045
))</f>
        <v>0</v>
      </c>
      <c r="AS97" s="172">
        <f t="shared" si="18"/>
        <v>0</v>
      </c>
      <c r="AT97" s="115">
        <f t="shared" si="19"/>
        <v>0</v>
      </c>
      <c r="AU97" s="173" t="str">
        <f t="shared" si="20"/>
        <v/>
      </c>
      <c r="AV97" s="174" t="str">
        <f t="shared" si="21"/>
        <v/>
      </c>
      <c r="AW97" s="119"/>
      <c r="AX97" s="141">
        <f>IF(
  OR(
    IFERROR(VLOOKUP(F97,'Rating Factors'!$A:$B,2,FALSE)="Decline",FALSE),
    IFERROR(VLOOKUP(G97,'Rating Factors'!$C:$D,2,FALSE)="Decline",FALSE),
    IFERROR(VLOOKUP(J97,'Rating Factors'!$F:$G,2,FALSE)="Decline",FALSE),
    IFERROR(VLOOKUP(K97,'Rating Factors'!$H:$I,2,FALSE)="Decline",FALSE),
    IFERROR(VLOOKUP(L97,'Rating Factors'!$J:$K,2,FALSE)="Decline",FALSE),
    IFERROR(VLOOKUP(M97,'Rating Factors'!$L:$M,2,FALSE)="Decline",FALSE),
    IFERROR(VLOOKUP(N97,'Rating Factors'!$N:$O,2,FALSE)="Decline",FALSE),
    IFERROR(VLOOKUP(O97,'Rating Factors'!$P:$Q,2,FALSE)="Decline",FALSE),
    IFERROR(VLOOKUP(P97,'Rating Factors'!$BO:$BP,2,FALSE)="Decline",FALSE),
    IFERROR(VLOOKUP(Q97,'Rating Factors'!$BQ:$BR,2,FALSE)="Decline",FALSE),
    IFERROR(VLOOKUP(R97,'Rating Factors'!$R:$S,2,FALSE)="Decline",FALSE),
    IFERROR(VLOOKUP(S97,'Rating Factors'!$T:$U,2,FALSE)="Decline",FALSE),
    IFERROR(VLOOKUP(T97,'Rating Factors'!$V:$W,2,FALSE)="Decline",FALSE),
    IFERROR(VLOOKUP(U97,'Rating Factors'!$X:$Y,2,FALSE)="Decline",FALSE),
    IFERROR(VLOOKUP(AI97,'Rating Factors'!$AB:$AC,2,FALSE)="Decline",FALSE),
    IFERROR(VLOOKUP(AK97,'Rating Factors'!$AK:$AL,2,FALSE)="Decline",FALSE),
    IFERROR(VLOOKUP(AL97,'Rating Factors'!$AP:$AQ,2,FALSE)="Decline",FALSE)
  ),
  "Declined",
  SUM(
    W97,
    X97,
    Y97*
      IFERROR(VLOOKUP(AD97,'Rating Factors'!$BS:$BT,2,FALSE),1),
    Z97*
      IFERROR(VLOOKUP(AD97,'Rating Factors'!$BS:$BT,2,FALSE),1)*
      IFERROR(VLOOKUP(AC97,'Rating Factors'!$BV:$BW,2,FALSE),1),
  )
  * IFERROR(VLOOKUP(F97,'Rating Factors'!$A:$B,2,FALSE),1)
  * IFERROR(VLOOKUP(G97,'Rating Factors'!$C:$D,2,FALSE),1)
  * IFERROR(VLOOKUP(J97,'Rating Factors'!$F:$G,2,FALSE),1)
  * IFERROR(VLOOKUP(K97,'Rating Factors'!$H:$I,2,FALSE),1)
  * IFERROR(VLOOKUP(L97,'Rating Factors'!$J:$K,2,FALSE),1)
  * IFERROR(VLOOKUP(M97,'Rating Factors'!$L:$M,2,FALSE),1)
  * IFERROR(VLOOKUP(N97,'Rating Factors'!$N:$O,2,FALSE),1)
  * IFERROR(VLOOKUP(O97,'Rating Factors'!$P:$Q,2,FALSE),1)
  * IFERROR(VLOOKUP(P97,'Rating Factors'!$BO:$BP,2,FALSE),1)
  * IFERROR(VLOOKUP(Q97,'Rating Factors'!$BQ:$BR,2,FALSE),1)
  * IFERROR(VLOOKUP(R97,'Rating Factors'!$R:$S,2,FALSE),1)
  * IFERROR(VLOOKUP(S97,'Rating Factors'!$T:$U,2,FALSE),1)
  * IFERROR(VLOOKUP(T97,'Rating Factors'!$V:$W,2,FALSE),1)
  * IFERROR(VLOOKUP(U97,'Rating Factors'!$X:$Y,2,FALSE),1)
  * IFERROR(VLOOKUP(AI97,'Rating Factors'!$AB:$AC,2,FALSE),1)
  * IFERROR(VLOOKUP(AK97,'Rating Factors'!$AK:$AL,2,FALSE),1)
  * IFERROR(VLOOKUP(AL97,'Rating Factors'!$AP:$AQ,2,FALSE),1)
  * IFERROR(LOOKUP(SUM($W$8:$Z$127),'Rating Factors'!$BD:$BD,'Rating Factors'!$BE:$BE),1))</f>
        <v>0</v>
      </c>
      <c r="AY97" s="158">
        <f>IF(OR(AQ97="Declined", AN97&lt;&gt;"Y"),
   0,
   N(AT97)*N('Rating Factors'!$AG$2)/100
)</f>
        <v>0</v>
      </c>
      <c r="AZ97" s="158">
        <f t="shared" si="22"/>
        <v>0</v>
      </c>
      <c r="BA97" s="142">
        <f>_xlfn.LET(
  _xlpm.base_ok, AND(AQ97&lt;&gt;"Declined", N(AQ97)&gt;0),
  _xlpm.is_full, EXACT(AG97, "Full Limit"),
  _xlpm.total_tiv, SUM($AT$8:$AT$127),
  _xlpm.loc_tiv, N(BE97),
  _xlpm.full_rate, N('Rating Factors'!$AO$10),
  _xlpm.min_per_loc, N('Rating Factors'!$AN$10),
  _xlpm.n_locs, N(E94),
  _xlpm.sched_prem, MAX(_xlpm.total_tiv*_xlpm.full_rate, _xlpm.min_per_loc*_xlpm.n_locs),
  _xlpm.alloc_prem, IF(_xlpm.total_tiv=0, 0, _xlpm.sched_prem * _xlpm.loc_tiv / _xlpm.total_tiv),
  _xlpm.cap_prem, IFERROR(VLOOKUP(AG97, 'Rating Factors'!$AM:$AN, 2, FALSE), 0),
  IF(_xlpm.base_ok,
     IF(_xlpm.is_full, _xlpm.alloc_prem, _xlpm.cap_prem),
     0
  )
)</f>
        <v>0</v>
      </c>
      <c r="BB97" s="143">
        <f t="shared" si="15"/>
        <v>0</v>
      </c>
      <c r="BC97" s="144">
        <f t="shared" si="23"/>
        <v>0</v>
      </c>
      <c r="BD97" s="145">
        <f t="shared" si="24"/>
        <v>0</v>
      </c>
      <c r="BE97" s="115">
        <f t="shared" si="16"/>
        <v>0</v>
      </c>
      <c r="BF97" s="106" t="str">
        <f t="shared" si="25"/>
        <v/>
      </c>
      <c r="BG97"/>
      <c r="BI97" s="67" t="str" cm="1">
        <f t="array" ref="BI97">IF(E97="","",LEFT(_xlfn.REGEXEXTRACT(UPPER(E97),"[A-Z][0-9][A-Z][ -]?[0-9][A-Z][0-9]"),3))</f>
        <v/>
      </c>
      <c r="BJ97" s="66" t="str">
        <f>IF(E97="","",_xlfn.XLOOKUP(BI97, CrestaP!B:B, CrestaP!D:D, ""))</f>
        <v/>
      </c>
      <c r="BK97" s="66" t="str">
        <f>IFERROR(
  INDEX(
    CrestaP!H4:M9,
    MATCH(J97, {"Frame","Brick Veneer","Joisted Masonry","Non-Combustible","Masonry Non-Combustible","Fire resistive"}, 0),
    MATCH(TEXT(BJ97,"@"), {"16","E5","E4","E3","E2","E1"}, 0)
  ),
  ""
)</f>
        <v/>
      </c>
    </row>
    <row r="98" spans="2:63" hidden="1" x14ac:dyDescent="0.25">
      <c r="B98"/>
      <c r="C98" s="24">
        <f t="shared" si="26"/>
        <v>91</v>
      </c>
      <c r="D98" s="25" t="s">
        <v>30</v>
      </c>
      <c r="E98" s="175"/>
      <c r="F98" s="89"/>
      <c r="G98" s="89"/>
      <c r="H98" s="104"/>
      <c r="I98" s="104"/>
      <c r="J98" s="89"/>
      <c r="K98" s="89"/>
      <c r="L98" s="89"/>
      <c r="M98" s="89"/>
      <c r="N98" s="89"/>
      <c r="O98" s="89"/>
      <c r="P98" s="104"/>
      <c r="Q98" s="104"/>
      <c r="R98" s="89"/>
      <c r="S98" s="89"/>
      <c r="T98" s="89"/>
      <c r="U98" s="25"/>
      <c r="V98" s="119"/>
      <c r="W98" s="19"/>
      <c r="X98" s="104"/>
      <c r="Y98" s="104"/>
      <c r="Z98" s="104"/>
      <c r="AA98" s="19"/>
      <c r="AB98" s="160" t="str">
        <f>IF(OR(AA98="",G98=""),"",VLOOKUP(G98,'Rating Factors'!$C:$E,3,FALSE)*AA98)</f>
        <v/>
      </c>
      <c r="AC98" s="20"/>
      <c r="AD98" s="20"/>
      <c r="AE98" s="104"/>
      <c r="AF98" s="96"/>
      <c r="AG98" s="20"/>
      <c r="AH98" s="119"/>
      <c r="AI98" s="19"/>
      <c r="AJ98" s="19"/>
      <c r="AK98" s="19"/>
      <c r="AL98" s="96"/>
      <c r="AM98" s="119"/>
      <c r="AN98" s="19"/>
      <c r="AO98" s="20"/>
      <c r="AP98" s="119"/>
      <c r="AQ98" s="115">
        <f t="shared" si="17"/>
        <v>0</v>
      </c>
      <c r="AR98" s="171">
        <f>IF(OR(Z98="",N(Z98)=0),
IF(
N(H98)+N(I98)=0,
0,
MAX(
IFERROR(VLOOKUP(AE98,'Rating Factors'!$BJ:$BK,2,FALSE),0),
((N(H98)*'Rating Factors'!$BF$2)+(N(I98)*'Rating Factors'!$BG$2))
*IFERROR(VLOOKUP(AE98,'Rating Factors'!$Z:$AA,2,FALSE),1)
*IFERROR(VLOOKUP(AJ98,'Rating Factors'!$AD:$AE,2,FALSE),1)
*IFERROR(VLOOKUP(SUM($H$8:$H$127),'Rating Factors'!$BM:$BN,2),1)
*IFERROR(VLOOKUP(SUM($I$8:$I$127),'Rating Factors'!$BH:$BI,2),1)
)
),
MAX(IFERROR(VLOOKUP(AE98,'Rating Factors'!$BJ:$BL,3,FALSE),0),
((N(I98)*'Rating Factors'!$BG$2))
*IFERROR(VLOOKUP(AE98,'Rating Factors'!$Z:$AA,2,FALSE),1)
*IFERROR(VLOOKUP(AJ98,'Rating Factors'!$AD:$AE,2,FALSE),1)
*N(AA98)* IFERROR(VLOOKUP(G98,'Rating Factors'!$C:$D,2,FALSE),1)*0.0045
))</f>
        <v>0</v>
      </c>
      <c r="AS98" s="172">
        <f t="shared" si="18"/>
        <v>0</v>
      </c>
      <c r="AT98" s="115">
        <f t="shared" si="19"/>
        <v>0</v>
      </c>
      <c r="AU98" s="173" t="str">
        <f t="shared" si="20"/>
        <v/>
      </c>
      <c r="AV98" s="174" t="str">
        <f t="shared" si="21"/>
        <v/>
      </c>
      <c r="AW98" s="119"/>
      <c r="AX98" s="141">
        <f>IF(
  OR(
    IFERROR(VLOOKUP(F98,'Rating Factors'!$A:$B,2,FALSE)="Decline",FALSE),
    IFERROR(VLOOKUP(G98,'Rating Factors'!$C:$D,2,FALSE)="Decline",FALSE),
    IFERROR(VLOOKUP(J98,'Rating Factors'!$F:$G,2,FALSE)="Decline",FALSE),
    IFERROR(VLOOKUP(K98,'Rating Factors'!$H:$I,2,FALSE)="Decline",FALSE),
    IFERROR(VLOOKUP(L98,'Rating Factors'!$J:$K,2,FALSE)="Decline",FALSE),
    IFERROR(VLOOKUP(M98,'Rating Factors'!$L:$M,2,FALSE)="Decline",FALSE),
    IFERROR(VLOOKUP(N98,'Rating Factors'!$N:$O,2,FALSE)="Decline",FALSE),
    IFERROR(VLOOKUP(O98,'Rating Factors'!$P:$Q,2,FALSE)="Decline",FALSE),
    IFERROR(VLOOKUP(P98,'Rating Factors'!$BO:$BP,2,FALSE)="Decline",FALSE),
    IFERROR(VLOOKUP(Q98,'Rating Factors'!$BQ:$BR,2,FALSE)="Decline",FALSE),
    IFERROR(VLOOKUP(R98,'Rating Factors'!$R:$S,2,FALSE)="Decline",FALSE),
    IFERROR(VLOOKUP(S98,'Rating Factors'!$T:$U,2,FALSE)="Decline",FALSE),
    IFERROR(VLOOKUP(T98,'Rating Factors'!$V:$W,2,FALSE)="Decline",FALSE),
    IFERROR(VLOOKUP(U98,'Rating Factors'!$X:$Y,2,FALSE)="Decline",FALSE),
    IFERROR(VLOOKUP(AI98,'Rating Factors'!$AB:$AC,2,FALSE)="Decline",FALSE),
    IFERROR(VLOOKUP(AK98,'Rating Factors'!$AK:$AL,2,FALSE)="Decline",FALSE),
    IFERROR(VLOOKUP(AL98,'Rating Factors'!$AP:$AQ,2,FALSE)="Decline",FALSE)
  ),
  "Declined",
  SUM(
    W98,
    X98,
    Y98*
      IFERROR(VLOOKUP(AD98,'Rating Factors'!$BS:$BT,2,FALSE),1),
    Z98*
      IFERROR(VLOOKUP(AD98,'Rating Factors'!$BS:$BT,2,FALSE),1)*
      IFERROR(VLOOKUP(AC98,'Rating Factors'!$BV:$BW,2,FALSE),1),
  )
  * IFERROR(VLOOKUP(F98,'Rating Factors'!$A:$B,2,FALSE),1)
  * IFERROR(VLOOKUP(G98,'Rating Factors'!$C:$D,2,FALSE),1)
  * IFERROR(VLOOKUP(J98,'Rating Factors'!$F:$G,2,FALSE),1)
  * IFERROR(VLOOKUP(K98,'Rating Factors'!$H:$I,2,FALSE),1)
  * IFERROR(VLOOKUP(L98,'Rating Factors'!$J:$K,2,FALSE),1)
  * IFERROR(VLOOKUP(M98,'Rating Factors'!$L:$M,2,FALSE),1)
  * IFERROR(VLOOKUP(N98,'Rating Factors'!$N:$O,2,FALSE),1)
  * IFERROR(VLOOKUP(O98,'Rating Factors'!$P:$Q,2,FALSE),1)
  * IFERROR(VLOOKUP(P98,'Rating Factors'!$BO:$BP,2,FALSE),1)
  * IFERROR(VLOOKUP(Q98,'Rating Factors'!$BQ:$BR,2,FALSE),1)
  * IFERROR(VLOOKUP(R98,'Rating Factors'!$R:$S,2,FALSE),1)
  * IFERROR(VLOOKUP(S98,'Rating Factors'!$T:$U,2,FALSE),1)
  * IFERROR(VLOOKUP(T98,'Rating Factors'!$V:$W,2,FALSE),1)
  * IFERROR(VLOOKUP(U98,'Rating Factors'!$X:$Y,2,FALSE),1)
  * IFERROR(VLOOKUP(AI98,'Rating Factors'!$AB:$AC,2,FALSE),1)
  * IFERROR(VLOOKUP(AK98,'Rating Factors'!$AK:$AL,2,FALSE),1)
  * IFERROR(VLOOKUP(AL98,'Rating Factors'!$AP:$AQ,2,FALSE),1)
  * IFERROR(LOOKUP(SUM($W$8:$Z$127),'Rating Factors'!$BD:$BD,'Rating Factors'!$BE:$BE),1))</f>
        <v>0</v>
      </c>
      <c r="AY98" s="158">
        <f>IF(OR(AQ98="Declined", AN98&lt;&gt;"Y"),
   0,
   N(AT98)*N('Rating Factors'!$AG$2)/100
)</f>
        <v>0</v>
      </c>
      <c r="AZ98" s="158">
        <f t="shared" si="22"/>
        <v>0</v>
      </c>
      <c r="BA98" s="142">
        <f>_xlfn.LET(
  _xlpm.base_ok, AND(AQ98&lt;&gt;"Declined", N(AQ98)&gt;0),
  _xlpm.is_full, EXACT(AG98, "Full Limit"),
  _xlpm.total_tiv, SUM($AT$8:$AT$127),
  _xlpm.loc_tiv, N(BE98),
  _xlpm.full_rate, N('Rating Factors'!$AO$10),
  _xlpm.min_per_loc, N('Rating Factors'!$AN$10),
  _xlpm.n_locs, N(E95),
  _xlpm.sched_prem, MAX(_xlpm.total_tiv*_xlpm.full_rate, _xlpm.min_per_loc*_xlpm.n_locs),
  _xlpm.alloc_prem, IF(_xlpm.total_tiv=0, 0, _xlpm.sched_prem * _xlpm.loc_tiv / _xlpm.total_tiv),
  _xlpm.cap_prem, IFERROR(VLOOKUP(AG98, 'Rating Factors'!$AM:$AN, 2, FALSE), 0),
  IF(_xlpm.base_ok,
     IF(_xlpm.is_full, _xlpm.alloc_prem, _xlpm.cap_prem),
     0
  )
)</f>
        <v>0</v>
      </c>
      <c r="BB98" s="143">
        <f t="shared" si="15"/>
        <v>0</v>
      </c>
      <c r="BC98" s="144">
        <f t="shared" si="23"/>
        <v>0</v>
      </c>
      <c r="BD98" s="145">
        <f t="shared" si="24"/>
        <v>0</v>
      </c>
      <c r="BE98" s="115">
        <f t="shared" si="16"/>
        <v>0</v>
      </c>
      <c r="BF98" s="106" t="str">
        <f t="shared" si="25"/>
        <v/>
      </c>
      <c r="BG98"/>
      <c r="BI98" s="67" t="str" cm="1">
        <f t="array" ref="BI98">IF(E98="","",LEFT(_xlfn.REGEXEXTRACT(UPPER(E98),"[A-Z][0-9][A-Z][ -]?[0-9][A-Z][0-9]"),3))</f>
        <v/>
      </c>
      <c r="BJ98" s="66" t="str">
        <f>IF(E98="","",_xlfn.XLOOKUP(BI98, CrestaP!B:B, CrestaP!D:D, ""))</f>
        <v/>
      </c>
      <c r="BK98" s="66" t="str">
        <f>IFERROR(
  INDEX(
    CrestaP!H4:M9,
    MATCH(J98, {"Frame","Brick Veneer","Joisted Masonry","Non-Combustible","Masonry Non-Combustible","Fire resistive"}, 0),
    MATCH(TEXT(BJ98,"@"), {"16","E5","E4","E3","E2","E1"}, 0)
  ),
  ""
)</f>
        <v/>
      </c>
    </row>
    <row r="99" spans="2:63" hidden="1" x14ac:dyDescent="0.25">
      <c r="B99"/>
      <c r="C99" s="24">
        <f t="shared" si="26"/>
        <v>92</v>
      </c>
      <c r="D99" s="25" t="s">
        <v>30</v>
      </c>
      <c r="E99" s="175"/>
      <c r="F99" s="89"/>
      <c r="G99" s="89"/>
      <c r="H99" s="104"/>
      <c r="I99" s="104"/>
      <c r="J99" s="89"/>
      <c r="K99" s="89"/>
      <c r="L99" s="89"/>
      <c r="M99" s="89"/>
      <c r="N99" s="89"/>
      <c r="O99" s="89"/>
      <c r="P99" s="104"/>
      <c r="Q99" s="104"/>
      <c r="R99" s="89"/>
      <c r="S99" s="89"/>
      <c r="T99" s="89"/>
      <c r="U99" s="25"/>
      <c r="V99" s="119"/>
      <c r="W99" s="19"/>
      <c r="X99" s="104"/>
      <c r="Y99" s="104"/>
      <c r="Z99" s="104"/>
      <c r="AA99" s="19"/>
      <c r="AB99" s="160" t="str">
        <f>IF(OR(AA99="",G99=""),"",VLOOKUP(G99,'Rating Factors'!$C:$E,3,FALSE)*AA99)</f>
        <v/>
      </c>
      <c r="AC99" s="20"/>
      <c r="AD99" s="20"/>
      <c r="AE99" s="104"/>
      <c r="AF99" s="96"/>
      <c r="AG99" s="20"/>
      <c r="AH99" s="119"/>
      <c r="AI99" s="19"/>
      <c r="AJ99" s="19"/>
      <c r="AK99" s="19"/>
      <c r="AL99" s="96"/>
      <c r="AM99" s="119"/>
      <c r="AN99" s="19"/>
      <c r="AO99" s="20"/>
      <c r="AP99" s="119"/>
      <c r="AQ99" s="115">
        <f t="shared" si="17"/>
        <v>0</v>
      </c>
      <c r="AR99" s="171">
        <f>IF(OR(Z99="",N(Z99)=0),
IF(
N(H99)+N(I99)=0,
0,
MAX(
IFERROR(VLOOKUP(AE99,'Rating Factors'!$BJ:$BK,2,FALSE),0),
((N(H99)*'Rating Factors'!$BF$2)+(N(I99)*'Rating Factors'!$BG$2))
*IFERROR(VLOOKUP(AE99,'Rating Factors'!$Z:$AA,2,FALSE),1)
*IFERROR(VLOOKUP(AJ99,'Rating Factors'!$AD:$AE,2,FALSE),1)
*IFERROR(VLOOKUP(SUM($H$8:$H$127),'Rating Factors'!$BM:$BN,2),1)
*IFERROR(VLOOKUP(SUM($I$8:$I$127),'Rating Factors'!$BH:$BI,2),1)
)
),
MAX(IFERROR(VLOOKUP(AE99,'Rating Factors'!$BJ:$BL,3,FALSE),0),
((N(I99)*'Rating Factors'!$BG$2))
*IFERROR(VLOOKUP(AE99,'Rating Factors'!$Z:$AA,2,FALSE),1)
*IFERROR(VLOOKUP(AJ99,'Rating Factors'!$AD:$AE,2,FALSE),1)
*N(AA99)* IFERROR(VLOOKUP(G99,'Rating Factors'!$C:$D,2,FALSE),1)*0.0045
))</f>
        <v>0</v>
      </c>
      <c r="AS99" s="172">
        <f t="shared" si="18"/>
        <v>0</v>
      </c>
      <c r="AT99" s="115">
        <f t="shared" si="19"/>
        <v>0</v>
      </c>
      <c r="AU99" s="173" t="str">
        <f t="shared" si="20"/>
        <v/>
      </c>
      <c r="AV99" s="174" t="str">
        <f t="shared" si="21"/>
        <v/>
      </c>
      <c r="AW99" s="119"/>
      <c r="AX99" s="141">
        <f>IF(
  OR(
    IFERROR(VLOOKUP(F99,'Rating Factors'!$A:$B,2,FALSE)="Decline",FALSE),
    IFERROR(VLOOKUP(G99,'Rating Factors'!$C:$D,2,FALSE)="Decline",FALSE),
    IFERROR(VLOOKUP(J99,'Rating Factors'!$F:$G,2,FALSE)="Decline",FALSE),
    IFERROR(VLOOKUP(K99,'Rating Factors'!$H:$I,2,FALSE)="Decline",FALSE),
    IFERROR(VLOOKUP(L99,'Rating Factors'!$J:$K,2,FALSE)="Decline",FALSE),
    IFERROR(VLOOKUP(M99,'Rating Factors'!$L:$M,2,FALSE)="Decline",FALSE),
    IFERROR(VLOOKUP(N99,'Rating Factors'!$N:$O,2,FALSE)="Decline",FALSE),
    IFERROR(VLOOKUP(O99,'Rating Factors'!$P:$Q,2,FALSE)="Decline",FALSE),
    IFERROR(VLOOKUP(P99,'Rating Factors'!$BO:$BP,2,FALSE)="Decline",FALSE),
    IFERROR(VLOOKUP(Q99,'Rating Factors'!$BQ:$BR,2,FALSE)="Decline",FALSE),
    IFERROR(VLOOKUP(R99,'Rating Factors'!$R:$S,2,FALSE)="Decline",FALSE),
    IFERROR(VLOOKUP(S99,'Rating Factors'!$T:$U,2,FALSE)="Decline",FALSE),
    IFERROR(VLOOKUP(T99,'Rating Factors'!$V:$W,2,FALSE)="Decline",FALSE),
    IFERROR(VLOOKUP(U99,'Rating Factors'!$X:$Y,2,FALSE)="Decline",FALSE),
    IFERROR(VLOOKUP(AI99,'Rating Factors'!$AB:$AC,2,FALSE)="Decline",FALSE),
    IFERROR(VLOOKUP(AK99,'Rating Factors'!$AK:$AL,2,FALSE)="Decline",FALSE),
    IFERROR(VLOOKUP(AL99,'Rating Factors'!$AP:$AQ,2,FALSE)="Decline",FALSE)
  ),
  "Declined",
  SUM(
    W99,
    X99,
    Y99*
      IFERROR(VLOOKUP(AD99,'Rating Factors'!$BS:$BT,2,FALSE),1),
    Z99*
      IFERROR(VLOOKUP(AD99,'Rating Factors'!$BS:$BT,2,FALSE),1)*
      IFERROR(VLOOKUP(AC99,'Rating Factors'!$BV:$BW,2,FALSE),1),
  )
  * IFERROR(VLOOKUP(F99,'Rating Factors'!$A:$B,2,FALSE),1)
  * IFERROR(VLOOKUP(G99,'Rating Factors'!$C:$D,2,FALSE),1)
  * IFERROR(VLOOKUP(J99,'Rating Factors'!$F:$G,2,FALSE),1)
  * IFERROR(VLOOKUP(K99,'Rating Factors'!$H:$I,2,FALSE),1)
  * IFERROR(VLOOKUP(L99,'Rating Factors'!$J:$K,2,FALSE),1)
  * IFERROR(VLOOKUP(M99,'Rating Factors'!$L:$M,2,FALSE),1)
  * IFERROR(VLOOKUP(N99,'Rating Factors'!$N:$O,2,FALSE),1)
  * IFERROR(VLOOKUP(O99,'Rating Factors'!$P:$Q,2,FALSE),1)
  * IFERROR(VLOOKUP(P99,'Rating Factors'!$BO:$BP,2,FALSE),1)
  * IFERROR(VLOOKUP(Q99,'Rating Factors'!$BQ:$BR,2,FALSE),1)
  * IFERROR(VLOOKUP(R99,'Rating Factors'!$R:$S,2,FALSE),1)
  * IFERROR(VLOOKUP(S99,'Rating Factors'!$T:$U,2,FALSE),1)
  * IFERROR(VLOOKUP(T99,'Rating Factors'!$V:$W,2,FALSE),1)
  * IFERROR(VLOOKUP(U99,'Rating Factors'!$X:$Y,2,FALSE),1)
  * IFERROR(VLOOKUP(AI99,'Rating Factors'!$AB:$AC,2,FALSE),1)
  * IFERROR(VLOOKUP(AK99,'Rating Factors'!$AK:$AL,2,FALSE),1)
  * IFERROR(VLOOKUP(AL99,'Rating Factors'!$AP:$AQ,2,FALSE),1)
  * IFERROR(LOOKUP(SUM($W$8:$Z$127),'Rating Factors'!$BD:$BD,'Rating Factors'!$BE:$BE),1))</f>
        <v>0</v>
      </c>
      <c r="AY99" s="158">
        <f>IF(OR(AQ99="Declined", AN99&lt;&gt;"Y"),
   0,
   N(AT99)*N('Rating Factors'!$AG$2)/100
)</f>
        <v>0</v>
      </c>
      <c r="AZ99" s="158">
        <f t="shared" si="22"/>
        <v>0</v>
      </c>
      <c r="BA99" s="142">
        <f>_xlfn.LET(
  _xlpm.base_ok, AND(AQ99&lt;&gt;"Declined", N(AQ99)&gt;0),
  _xlpm.is_full, EXACT(AG99, "Full Limit"),
  _xlpm.total_tiv, SUM($AT$8:$AT$127),
  _xlpm.loc_tiv, N(BE99),
  _xlpm.full_rate, N('Rating Factors'!$AO$10),
  _xlpm.min_per_loc, N('Rating Factors'!$AN$10),
  _xlpm.n_locs, N(E96),
  _xlpm.sched_prem, MAX(_xlpm.total_tiv*_xlpm.full_rate, _xlpm.min_per_loc*_xlpm.n_locs),
  _xlpm.alloc_prem, IF(_xlpm.total_tiv=0, 0, _xlpm.sched_prem * _xlpm.loc_tiv / _xlpm.total_tiv),
  _xlpm.cap_prem, IFERROR(VLOOKUP(AG99, 'Rating Factors'!$AM:$AN, 2, FALSE), 0),
  IF(_xlpm.base_ok,
     IF(_xlpm.is_full, _xlpm.alloc_prem, _xlpm.cap_prem),
     0
  )
)</f>
        <v>0</v>
      </c>
      <c r="BB99" s="143">
        <f t="shared" si="15"/>
        <v>0</v>
      </c>
      <c r="BC99" s="144">
        <f t="shared" si="23"/>
        <v>0</v>
      </c>
      <c r="BD99" s="145">
        <f t="shared" si="24"/>
        <v>0</v>
      </c>
      <c r="BE99" s="115">
        <f t="shared" si="16"/>
        <v>0</v>
      </c>
      <c r="BF99" s="106" t="str">
        <f t="shared" si="25"/>
        <v/>
      </c>
      <c r="BG99"/>
      <c r="BI99" s="67" t="str" cm="1">
        <f t="array" ref="BI99">IF(E99="","",LEFT(_xlfn.REGEXEXTRACT(UPPER(E99),"[A-Z][0-9][A-Z][ -]?[0-9][A-Z][0-9]"),3))</f>
        <v/>
      </c>
      <c r="BJ99" s="66" t="str">
        <f>IF(E99="","",_xlfn.XLOOKUP(BI99, CrestaP!B:B, CrestaP!D:D, ""))</f>
        <v/>
      </c>
      <c r="BK99" s="66" t="str">
        <f>IFERROR(
  INDEX(
    CrestaP!H4:M9,
    MATCH(J99, {"Frame","Brick Veneer","Joisted Masonry","Non-Combustible","Masonry Non-Combustible","Fire resistive"}, 0),
    MATCH(TEXT(BJ99,"@"), {"16","E5","E4","E3","E2","E1"}, 0)
  ),
  ""
)</f>
        <v/>
      </c>
    </row>
    <row r="100" spans="2:63" hidden="1" x14ac:dyDescent="0.25">
      <c r="B100"/>
      <c r="C100" s="24">
        <f t="shared" si="26"/>
        <v>93</v>
      </c>
      <c r="D100" s="25" t="s">
        <v>30</v>
      </c>
      <c r="E100" s="175"/>
      <c r="F100" s="89"/>
      <c r="G100" s="89"/>
      <c r="H100" s="104"/>
      <c r="I100" s="104"/>
      <c r="J100" s="89"/>
      <c r="K100" s="89"/>
      <c r="L100" s="89"/>
      <c r="M100" s="89"/>
      <c r="N100" s="89"/>
      <c r="O100" s="89"/>
      <c r="P100" s="104"/>
      <c r="Q100" s="104"/>
      <c r="R100" s="89"/>
      <c r="S100" s="89"/>
      <c r="T100" s="89"/>
      <c r="U100" s="25"/>
      <c r="V100" s="119"/>
      <c r="W100" s="19"/>
      <c r="X100" s="104"/>
      <c r="Y100" s="104"/>
      <c r="Z100" s="104"/>
      <c r="AA100" s="19"/>
      <c r="AB100" s="160" t="str">
        <f>IF(OR(AA100="",G100=""),"",VLOOKUP(G100,'Rating Factors'!$C:$E,3,FALSE)*AA100)</f>
        <v/>
      </c>
      <c r="AC100" s="20"/>
      <c r="AD100" s="20"/>
      <c r="AE100" s="104"/>
      <c r="AF100" s="96"/>
      <c r="AG100" s="20"/>
      <c r="AH100" s="119"/>
      <c r="AI100" s="19"/>
      <c r="AJ100" s="19"/>
      <c r="AK100" s="19"/>
      <c r="AL100" s="96"/>
      <c r="AM100" s="119"/>
      <c r="AN100" s="19"/>
      <c r="AO100" s="20"/>
      <c r="AP100" s="119"/>
      <c r="AQ100" s="115">
        <f t="shared" si="17"/>
        <v>0</v>
      </c>
      <c r="AR100" s="171">
        <f>IF(OR(Z100="",N(Z100)=0),
IF(
N(H100)+N(I100)=0,
0,
MAX(
IFERROR(VLOOKUP(AE100,'Rating Factors'!$BJ:$BK,2,FALSE),0),
((N(H100)*'Rating Factors'!$BF$2)+(N(I100)*'Rating Factors'!$BG$2))
*IFERROR(VLOOKUP(AE100,'Rating Factors'!$Z:$AA,2,FALSE),1)
*IFERROR(VLOOKUP(AJ100,'Rating Factors'!$AD:$AE,2,FALSE),1)
*IFERROR(VLOOKUP(SUM($H$8:$H$127),'Rating Factors'!$BM:$BN,2),1)
*IFERROR(VLOOKUP(SUM($I$8:$I$127),'Rating Factors'!$BH:$BI,2),1)
)
),
MAX(IFERROR(VLOOKUP(AE100,'Rating Factors'!$BJ:$BL,3,FALSE),0),
((N(I100)*'Rating Factors'!$BG$2))
*IFERROR(VLOOKUP(AE100,'Rating Factors'!$Z:$AA,2,FALSE),1)
*IFERROR(VLOOKUP(AJ100,'Rating Factors'!$AD:$AE,2,FALSE),1)
*N(AA100)* IFERROR(VLOOKUP(G100,'Rating Factors'!$C:$D,2,FALSE),1)*0.0045
))</f>
        <v>0</v>
      </c>
      <c r="AS100" s="172">
        <f t="shared" si="18"/>
        <v>0</v>
      </c>
      <c r="AT100" s="115">
        <f t="shared" si="19"/>
        <v>0</v>
      </c>
      <c r="AU100" s="173" t="str">
        <f t="shared" si="20"/>
        <v/>
      </c>
      <c r="AV100" s="174" t="str">
        <f t="shared" si="21"/>
        <v/>
      </c>
      <c r="AW100" s="119"/>
      <c r="AX100" s="141">
        <f>IF(
  OR(
    IFERROR(VLOOKUP(F100,'Rating Factors'!$A:$B,2,FALSE)="Decline",FALSE),
    IFERROR(VLOOKUP(G100,'Rating Factors'!$C:$D,2,FALSE)="Decline",FALSE),
    IFERROR(VLOOKUP(J100,'Rating Factors'!$F:$G,2,FALSE)="Decline",FALSE),
    IFERROR(VLOOKUP(K100,'Rating Factors'!$H:$I,2,FALSE)="Decline",FALSE),
    IFERROR(VLOOKUP(L100,'Rating Factors'!$J:$K,2,FALSE)="Decline",FALSE),
    IFERROR(VLOOKUP(M100,'Rating Factors'!$L:$M,2,FALSE)="Decline",FALSE),
    IFERROR(VLOOKUP(N100,'Rating Factors'!$N:$O,2,FALSE)="Decline",FALSE),
    IFERROR(VLOOKUP(O100,'Rating Factors'!$P:$Q,2,FALSE)="Decline",FALSE),
    IFERROR(VLOOKUP(P100,'Rating Factors'!$BO:$BP,2,FALSE)="Decline",FALSE),
    IFERROR(VLOOKUP(Q100,'Rating Factors'!$BQ:$BR,2,FALSE)="Decline",FALSE),
    IFERROR(VLOOKUP(R100,'Rating Factors'!$R:$S,2,FALSE)="Decline",FALSE),
    IFERROR(VLOOKUP(S100,'Rating Factors'!$T:$U,2,FALSE)="Decline",FALSE),
    IFERROR(VLOOKUP(T100,'Rating Factors'!$V:$W,2,FALSE)="Decline",FALSE),
    IFERROR(VLOOKUP(U100,'Rating Factors'!$X:$Y,2,FALSE)="Decline",FALSE),
    IFERROR(VLOOKUP(AI100,'Rating Factors'!$AB:$AC,2,FALSE)="Decline",FALSE),
    IFERROR(VLOOKUP(AK100,'Rating Factors'!$AK:$AL,2,FALSE)="Decline",FALSE),
    IFERROR(VLOOKUP(AL100,'Rating Factors'!$AP:$AQ,2,FALSE)="Decline",FALSE)
  ),
  "Declined",
  SUM(
    W100,
    X100,
    Y100*
      IFERROR(VLOOKUP(AD100,'Rating Factors'!$BS:$BT,2,FALSE),1),
    Z100*
      IFERROR(VLOOKUP(AD100,'Rating Factors'!$BS:$BT,2,FALSE),1)*
      IFERROR(VLOOKUP(AC100,'Rating Factors'!$BV:$BW,2,FALSE),1),
  )
  * IFERROR(VLOOKUP(F100,'Rating Factors'!$A:$B,2,FALSE),1)
  * IFERROR(VLOOKUP(G100,'Rating Factors'!$C:$D,2,FALSE),1)
  * IFERROR(VLOOKUP(J100,'Rating Factors'!$F:$G,2,FALSE),1)
  * IFERROR(VLOOKUP(K100,'Rating Factors'!$H:$I,2,FALSE),1)
  * IFERROR(VLOOKUP(L100,'Rating Factors'!$J:$K,2,FALSE),1)
  * IFERROR(VLOOKUP(M100,'Rating Factors'!$L:$M,2,FALSE),1)
  * IFERROR(VLOOKUP(N100,'Rating Factors'!$N:$O,2,FALSE),1)
  * IFERROR(VLOOKUP(O100,'Rating Factors'!$P:$Q,2,FALSE),1)
  * IFERROR(VLOOKUP(P100,'Rating Factors'!$BO:$BP,2,FALSE),1)
  * IFERROR(VLOOKUP(Q100,'Rating Factors'!$BQ:$BR,2,FALSE),1)
  * IFERROR(VLOOKUP(R100,'Rating Factors'!$R:$S,2,FALSE),1)
  * IFERROR(VLOOKUP(S100,'Rating Factors'!$T:$U,2,FALSE),1)
  * IFERROR(VLOOKUP(T100,'Rating Factors'!$V:$W,2,FALSE),1)
  * IFERROR(VLOOKUP(U100,'Rating Factors'!$X:$Y,2,FALSE),1)
  * IFERROR(VLOOKUP(AI100,'Rating Factors'!$AB:$AC,2,FALSE),1)
  * IFERROR(VLOOKUP(AK100,'Rating Factors'!$AK:$AL,2,FALSE),1)
  * IFERROR(VLOOKUP(AL100,'Rating Factors'!$AP:$AQ,2,FALSE),1)
  * IFERROR(LOOKUP(SUM($W$8:$Z$127),'Rating Factors'!$BD:$BD,'Rating Factors'!$BE:$BE),1))</f>
        <v>0</v>
      </c>
      <c r="AY100" s="158">
        <f>IF(OR(AQ100="Declined", AN100&lt;&gt;"Y"),
   0,
   N(AT100)*N('Rating Factors'!$AG$2)/100
)</f>
        <v>0</v>
      </c>
      <c r="AZ100" s="158">
        <f t="shared" si="22"/>
        <v>0</v>
      </c>
      <c r="BA100" s="142">
        <f>_xlfn.LET(
  _xlpm.base_ok, AND(AQ100&lt;&gt;"Declined", N(AQ100)&gt;0),
  _xlpm.is_full, EXACT(AG100, "Full Limit"),
  _xlpm.total_tiv, SUM($AT$8:$AT$127),
  _xlpm.loc_tiv, N(BE100),
  _xlpm.full_rate, N('Rating Factors'!$AO$10),
  _xlpm.min_per_loc, N('Rating Factors'!$AN$10),
  _xlpm.n_locs, N(E97),
  _xlpm.sched_prem, MAX(_xlpm.total_tiv*_xlpm.full_rate, _xlpm.min_per_loc*_xlpm.n_locs),
  _xlpm.alloc_prem, IF(_xlpm.total_tiv=0, 0, _xlpm.sched_prem * _xlpm.loc_tiv / _xlpm.total_tiv),
  _xlpm.cap_prem, IFERROR(VLOOKUP(AG100, 'Rating Factors'!$AM:$AN, 2, FALSE), 0),
  IF(_xlpm.base_ok,
     IF(_xlpm.is_full, _xlpm.alloc_prem, _xlpm.cap_prem),
     0
  )
)</f>
        <v>0</v>
      </c>
      <c r="BB100" s="143">
        <f t="shared" si="15"/>
        <v>0</v>
      </c>
      <c r="BC100" s="144">
        <f t="shared" si="23"/>
        <v>0</v>
      </c>
      <c r="BD100" s="145">
        <f t="shared" si="24"/>
        <v>0</v>
      </c>
      <c r="BE100" s="115">
        <f t="shared" si="16"/>
        <v>0</v>
      </c>
      <c r="BF100" s="106" t="str">
        <f t="shared" si="25"/>
        <v/>
      </c>
      <c r="BG100"/>
      <c r="BI100" s="67" t="str" cm="1">
        <f t="array" ref="BI100">IF(E100="","",LEFT(_xlfn.REGEXEXTRACT(UPPER(E100),"[A-Z][0-9][A-Z][ -]?[0-9][A-Z][0-9]"),3))</f>
        <v/>
      </c>
      <c r="BJ100" s="66" t="str">
        <f>IF(E100="","",_xlfn.XLOOKUP(BI100, CrestaP!B:B, CrestaP!D:D, ""))</f>
        <v/>
      </c>
      <c r="BK100" s="66" t="str">
        <f>IFERROR(
  INDEX(
    CrestaP!H4:M9,
    MATCH(J100, {"Frame","Brick Veneer","Joisted Masonry","Non-Combustible","Masonry Non-Combustible","Fire resistive"}, 0),
    MATCH(TEXT(BJ100,"@"), {"16","E5","E4","E3","E2","E1"}, 0)
  ),
  ""
)</f>
        <v/>
      </c>
    </row>
    <row r="101" spans="2:63" hidden="1" x14ac:dyDescent="0.25">
      <c r="B101"/>
      <c r="C101" s="24">
        <f t="shared" si="26"/>
        <v>94</v>
      </c>
      <c r="D101" s="25" t="s">
        <v>30</v>
      </c>
      <c r="E101" s="175"/>
      <c r="F101" s="89"/>
      <c r="G101" s="89"/>
      <c r="H101" s="104"/>
      <c r="I101" s="104"/>
      <c r="J101" s="89"/>
      <c r="K101" s="89"/>
      <c r="L101" s="89"/>
      <c r="M101" s="89"/>
      <c r="N101" s="89"/>
      <c r="O101" s="89"/>
      <c r="P101" s="104"/>
      <c r="Q101" s="104"/>
      <c r="R101" s="89"/>
      <c r="S101" s="89"/>
      <c r="T101" s="89"/>
      <c r="U101" s="25"/>
      <c r="V101" s="119"/>
      <c r="W101" s="19"/>
      <c r="X101" s="104"/>
      <c r="Y101" s="104"/>
      <c r="Z101" s="104"/>
      <c r="AA101" s="19"/>
      <c r="AB101" s="160" t="str">
        <f>IF(OR(AA101="",G101=""),"",VLOOKUP(G101,'Rating Factors'!$C:$E,3,FALSE)*AA101)</f>
        <v/>
      </c>
      <c r="AC101" s="20"/>
      <c r="AD101" s="20"/>
      <c r="AE101" s="104"/>
      <c r="AF101" s="96"/>
      <c r="AG101" s="20"/>
      <c r="AH101" s="119"/>
      <c r="AI101" s="19"/>
      <c r="AJ101" s="19"/>
      <c r="AK101" s="19"/>
      <c r="AL101" s="96"/>
      <c r="AM101" s="119"/>
      <c r="AN101" s="19"/>
      <c r="AO101" s="20"/>
      <c r="AP101" s="119"/>
      <c r="AQ101" s="115">
        <f t="shared" si="17"/>
        <v>0</v>
      </c>
      <c r="AR101" s="171">
        <f>IF(OR(Z101="",N(Z101)=0),
IF(
N(H101)+N(I101)=0,
0,
MAX(
IFERROR(VLOOKUP(AE101,'Rating Factors'!$BJ:$BK,2,FALSE),0),
((N(H101)*'Rating Factors'!$BF$2)+(N(I101)*'Rating Factors'!$BG$2))
*IFERROR(VLOOKUP(AE101,'Rating Factors'!$Z:$AA,2,FALSE),1)
*IFERROR(VLOOKUP(AJ101,'Rating Factors'!$AD:$AE,2,FALSE),1)
*IFERROR(VLOOKUP(SUM($H$8:$H$127),'Rating Factors'!$BM:$BN,2),1)
*IFERROR(VLOOKUP(SUM($I$8:$I$127),'Rating Factors'!$BH:$BI,2),1)
)
),
MAX(IFERROR(VLOOKUP(AE101,'Rating Factors'!$BJ:$BL,3,FALSE),0),
((N(I101)*'Rating Factors'!$BG$2))
*IFERROR(VLOOKUP(AE101,'Rating Factors'!$Z:$AA,2,FALSE),1)
*IFERROR(VLOOKUP(AJ101,'Rating Factors'!$AD:$AE,2,FALSE),1)
*N(AA101)* IFERROR(VLOOKUP(G101,'Rating Factors'!$C:$D,2,FALSE),1)*0.0045
))</f>
        <v>0</v>
      </c>
      <c r="AS101" s="172">
        <f t="shared" si="18"/>
        <v>0</v>
      </c>
      <c r="AT101" s="115">
        <f t="shared" si="19"/>
        <v>0</v>
      </c>
      <c r="AU101" s="173" t="str">
        <f t="shared" si="20"/>
        <v/>
      </c>
      <c r="AV101" s="174" t="str">
        <f t="shared" si="21"/>
        <v/>
      </c>
      <c r="AW101" s="119"/>
      <c r="AX101" s="141">
        <f>IF(
  OR(
    IFERROR(VLOOKUP(F101,'Rating Factors'!$A:$B,2,FALSE)="Decline",FALSE),
    IFERROR(VLOOKUP(G101,'Rating Factors'!$C:$D,2,FALSE)="Decline",FALSE),
    IFERROR(VLOOKUP(J101,'Rating Factors'!$F:$G,2,FALSE)="Decline",FALSE),
    IFERROR(VLOOKUP(K101,'Rating Factors'!$H:$I,2,FALSE)="Decline",FALSE),
    IFERROR(VLOOKUP(L101,'Rating Factors'!$J:$K,2,FALSE)="Decline",FALSE),
    IFERROR(VLOOKUP(M101,'Rating Factors'!$L:$M,2,FALSE)="Decline",FALSE),
    IFERROR(VLOOKUP(N101,'Rating Factors'!$N:$O,2,FALSE)="Decline",FALSE),
    IFERROR(VLOOKUP(O101,'Rating Factors'!$P:$Q,2,FALSE)="Decline",FALSE),
    IFERROR(VLOOKUP(P101,'Rating Factors'!$BO:$BP,2,FALSE)="Decline",FALSE),
    IFERROR(VLOOKUP(Q101,'Rating Factors'!$BQ:$BR,2,FALSE)="Decline",FALSE),
    IFERROR(VLOOKUP(R101,'Rating Factors'!$R:$S,2,FALSE)="Decline",FALSE),
    IFERROR(VLOOKUP(S101,'Rating Factors'!$T:$U,2,FALSE)="Decline",FALSE),
    IFERROR(VLOOKUP(T101,'Rating Factors'!$V:$W,2,FALSE)="Decline",FALSE),
    IFERROR(VLOOKUP(U101,'Rating Factors'!$X:$Y,2,FALSE)="Decline",FALSE),
    IFERROR(VLOOKUP(AI101,'Rating Factors'!$AB:$AC,2,FALSE)="Decline",FALSE),
    IFERROR(VLOOKUP(AK101,'Rating Factors'!$AK:$AL,2,FALSE)="Decline",FALSE),
    IFERROR(VLOOKUP(AL101,'Rating Factors'!$AP:$AQ,2,FALSE)="Decline",FALSE)
  ),
  "Declined",
  SUM(
    W101,
    X101,
    Y101*
      IFERROR(VLOOKUP(AD101,'Rating Factors'!$BS:$BT,2,FALSE),1),
    Z101*
      IFERROR(VLOOKUP(AD101,'Rating Factors'!$BS:$BT,2,FALSE),1)*
      IFERROR(VLOOKUP(AC101,'Rating Factors'!$BV:$BW,2,FALSE),1),
  )
  * IFERROR(VLOOKUP(F101,'Rating Factors'!$A:$B,2,FALSE),1)
  * IFERROR(VLOOKUP(G101,'Rating Factors'!$C:$D,2,FALSE),1)
  * IFERROR(VLOOKUP(J101,'Rating Factors'!$F:$G,2,FALSE),1)
  * IFERROR(VLOOKUP(K101,'Rating Factors'!$H:$I,2,FALSE),1)
  * IFERROR(VLOOKUP(L101,'Rating Factors'!$J:$K,2,FALSE),1)
  * IFERROR(VLOOKUP(M101,'Rating Factors'!$L:$M,2,FALSE),1)
  * IFERROR(VLOOKUP(N101,'Rating Factors'!$N:$O,2,FALSE),1)
  * IFERROR(VLOOKUP(O101,'Rating Factors'!$P:$Q,2,FALSE),1)
  * IFERROR(VLOOKUP(P101,'Rating Factors'!$BO:$BP,2,FALSE),1)
  * IFERROR(VLOOKUP(Q101,'Rating Factors'!$BQ:$BR,2,FALSE),1)
  * IFERROR(VLOOKUP(R101,'Rating Factors'!$R:$S,2,FALSE),1)
  * IFERROR(VLOOKUP(S101,'Rating Factors'!$T:$U,2,FALSE),1)
  * IFERROR(VLOOKUP(T101,'Rating Factors'!$V:$W,2,FALSE),1)
  * IFERROR(VLOOKUP(U101,'Rating Factors'!$X:$Y,2,FALSE),1)
  * IFERROR(VLOOKUP(AI101,'Rating Factors'!$AB:$AC,2,FALSE),1)
  * IFERROR(VLOOKUP(AK101,'Rating Factors'!$AK:$AL,2,FALSE),1)
  * IFERROR(VLOOKUP(AL101,'Rating Factors'!$AP:$AQ,2,FALSE),1)
  * IFERROR(LOOKUP(SUM($W$8:$Z$127),'Rating Factors'!$BD:$BD,'Rating Factors'!$BE:$BE),1))</f>
        <v>0</v>
      </c>
      <c r="AY101" s="158">
        <f>IF(OR(AQ101="Declined", AN101&lt;&gt;"Y"),
   0,
   N(AT101)*N('Rating Factors'!$AG$2)/100
)</f>
        <v>0</v>
      </c>
      <c r="AZ101" s="158">
        <f t="shared" si="22"/>
        <v>0</v>
      </c>
      <c r="BA101" s="142">
        <f>_xlfn.LET(
  _xlpm.base_ok, AND(AQ101&lt;&gt;"Declined", N(AQ101)&gt;0),
  _xlpm.is_full, EXACT(AG101, "Full Limit"),
  _xlpm.total_tiv, SUM($AT$8:$AT$127),
  _xlpm.loc_tiv, N(BE101),
  _xlpm.full_rate, N('Rating Factors'!$AO$10),
  _xlpm.min_per_loc, N('Rating Factors'!$AN$10),
  _xlpm.n_locs, N(E98),
  _xlpm.sched_prem, MAX(_xlpm.total_tiv*_xlpm.full_rate, _xlpm.min_per_loc*_xlpm.n_locs),
  _xlpm.alloc_prem, IF(_xlpm.total_tiv=0, 0, _xlpm.sched_prem * _xlpm.loc_tiv / _xlpm.total_tiv),
  _xlpm.cap_prem, IFERROR(VLOOKUP(AG101, 'Rating Factors'!$AM:$AN, 2, FALSE), 0),
  IF(_xlpm.base_ok,
     IF(_xlpm.is_full, _xlpm.alloc_prem, _xlpm.cap_prem),
     0
  )
)</f>
        <v>0</v>
      </c>
      <c r="BB101" s="143">
        <f t="shared" si="15"/>
        <v>0</v>
      </c>
      <c r="BC101" s="144">
        <f t="shared" si="23"/>
        <v>0</v>
      </c>
      <c r="BD101" s="145">
        <f t="shared" si="24"/>
        <v>0</v>
      </c>
      <c r="BE101" s="115">
        <f t="shared" si="16"/>
        <v>0</v>
      </c>
      <c r="BF101" s="106" t="str">
        <f t="shared" si="25"/>
        <v/>
      </c>
      <c r="BG101"/>
      <c r="BI101" s="67" t="str" cm="1">
        <f t="array" ref="BI101">IF(E101="","",LEFT(_xlfn.REGEXEXTRACT(UPPER(E101),"[A-Z][0-9][A-Z][ -]?[0-9][A-Z][0-9]"),3))</f>
        <v/>
      </c>
      <c r="BJ101" s="66" t="str">
        <f>IF(E101="","",_xlfn.XLOOKUP(BI101, CrestaP!B:B, CrestaP!D:D, ""))</f>
        <v/>
      </c>
      <c r="BK101" s="66" t="str">
        <f>IFERROR(
  INDEX(
    CrestaP!H4:M9,
    MATCH(J101, {"Frame","Brick Veneer","Joisted Masonry","Non-Combustible","Masonry Non-Combustible","Fire resistive"}, 0),
    MATCH(TEXT(BJ101,"@"), {"16","E5","E4","E3","E2","E1"}, 0)
  ),
  ""
)</f>
        <v/>
      </c>
    </row>
    <row r="102" spans="2:63" hidden="1" x14ac:dyDescent="0.25">
      <c r="B102"/>
      <c r="C102" s="24">
        <f t="shared" si="26"/>
        <v>95</v>
      </c>
      <c r="D102" s="25" t="s">
        <v>30</v>
      </c>
      <c r="E102" s="175"/>
      <c r="F102" s="89"/>
      <c r="G102" s="89"/>
      <c r="H102" s="104"/>
      <c r="I102" s="104"/>
      <c r="J102" s="89"/>
      <c r="K102" s="89"/>
      <c r="L102" s="89"/>
      <c r="M102" s="89"/>
      <c r="N102" s="89"/>
      <c r="O102" s="89"/>
      <c r="P102" s="104"/>
      <c r="Q102" s="104"/>
      <c r="R102" s="89"/>
      <c r="S102" s="89"/>
      <c r="T102" s="89"/>
      <c r="U102" s="25"/>
      <c r="V102" s="119"/>
      <c r="W102" s="19"/>
      <c r="X102" s="104"/>
      <c r="Y102" s="104"/>
      <c r="Z102" s="104"/>
      <c r="AA102" s="19"/>
      <c r="AB102" s="160" t="str">
        <f>IF(OR(AA102="",G102=""),"",VLOOKUP(G102,'Rating Factors'!$C:$E,3,FALSE)*AA102)</f>
        <v/>
      </c>
      <c r="AC102" s="20"/>
      <c r="AD102" s="20"/>
      <c r="AE102" s="104"/>
      <c r="AF102" s="96"/>
      <c r="AG102" s="20"/>
      <c r="AH102" s="119"/>
      <c r="AI102" s="19"/>
      <c r="AJ102" s="19"/>
      <c r="AK102" s="19"/>
      <c r="AL102" s="96"/>
      <c r="AM102" s="119"/>
      <c r="AN102" s="19"/>
      <c r="AO102" s="20"/>
      <c r="AP102" s="119"/>
      <c r="AQ102" s="115">
        <f t="shared" si="17"/>
        <v>0</v>
      </c>
      <c r="AR102" s="171">
        <f>IF(OR(Z102="",N(Z102)=0),
IF(
N(H102)+N(I102)=0,
0,
MAX(
IFERROR(VLOOKUP(AE102,'Rating Factors'!$BJ:$BK,2,FALSE),0),
((N(H102)*'Rating Factors'!$BF$2)+(N(I102)*'Rating Factors'!$BG$2))
*IFERROR(VLOOKUP(AE102,'Rating Factors'!$Z:$AA,2,FALSE),1)
*IFERROR(VLOOKUP(AJ102,'Rating Factors'!$AD:$AE,2,FALSE),1)
*IFERROR(VLOOKUP(SUM($H$8:$H$127),'Rating Factors'!$BM:$BN,2),1)
*IFERROR(VLOOKUP(SUM($I$8:$I$127),'Rating Factors'!$BH:$BI,2),1)
)
),
MAX(IFERROR(VLOOKUP(AE102,'Rating Factors'!$BJ:$BL,3,FALSE),0),
((N(I102)*'Rating Factors'!$BG$2))
*IFERROR(VLOOKUP(AE102,'Rating Factors'!$Z:$AA,2,FALSE),1)
*IFERROR(VLOOKUP(AJ102,'Rating Factors'!$AD:$AE,2,FALSE),1)
*N(AA102)* IFERROR(VLOOKUP(G102,'Rating Factors'!$C:$D,2,FALSE),1)*0.0045
))</f>
        <v>0</v>
      </c>
      <c r="AS102" s="172">
        <f t="shared" si="18"/>
        <v>0</v>
      </c>
      <c r="AT102" s="115">
        <f t="shared" si="19"/>
        <v>0</v>
      </c>
      <c r="AU102" s="173" t="str">
        <f t="shared" si="20"/>
        <v/>
      </c>
      <c r="AV102" s="174" t="str">
        <f t="shared" si="21"/>
        <v/>
      </c>
      <c r="AW102" s="119"/>
      <c r="AX102" s="141">
        <f>IF(
  OR(
    IFERROR(VLOOKUP(F102,'Rating Factors'!$A:$B,2,FALSE)="Decline",FALSE),
    IFERROR(VLOOKUP(G102,'Rating Factors'!$C:$D,2,FALSE)="Decline",FALSE),
    IFERROR(VLOOKUP(J102,'Rating Factors'!$F:$G,2,FALSE)="Decline",FALSE),
    IFERROR(VLOOKUP(K102,'Rating Factors'!$H:$I,2,FALSE)="Decline",FALSE),
    IFERROR(VLOOKUP(L102,'Rating Factors'!$J:$K,2,FALSE)="Decline",FALSE),
    IFERROR(VLOOKUP(M102,'Rating Factors'!$L:$M,2,FALSE)="Decline",FALSE),
    IFERROR(VLOOKUP(N102,'Rating Factors'!$N:$O,2,FALSE)="Decline",FALSE),
    IFERROR(VLOOKUP(O102,'Rating Factors'!$P:$Q,2,FALSE)="Decline",FALSE),
    IFERROR(VLOOKUP(P102,'Rating Factors'!$BO:$BP,2,FALSE)="Decline",FALSE),
    IFERROR(VLOOKUP(Q102,'Rating Factors'!$BQ:$BR,2,FALSE)="Decline",FALSE),
    IFERROR(VLOOKUP(R102,'Rating Factors'!$R:$S,2,FALSE)="Decline",FALSE),
    IFERROR(VLOOKUP(S102,'Rating Factors'!$T:$U,2,FALSE)="Decline",FALSE),
    IFERROR(VLOOKUP(T102,'Rating Factors'!$V:$W,2,FALSE)="Decline",FALSE),
    IFERROR(VLOOKUP(U102,'Rating Factors'!$X:$Y,2,FALSE)="Decline",FALSE),
    IFERROR(VLOOKUP(AI102,'Rating Factors'!$AB:$AC,2,FALSE)="Decline",FALSE),
    IFERROR(VLOOKUP(AK102,'Rating Factors'!$AK:$AL,2,FALSE)="Decline",FALSE),
    IFERROR(VLOOKUP(AL102,'Rating Factors'!$AP:$AQ,2,FALSE)="Decline",FALSE)
  ),
  "Declined",
  SUM(
    W102,
    X102,
    Y102*
      IFERROR(VLOOKUP(AD102,'Rating Factors'!$BS:$BT,2,FALSE),1),
    Z102*
      IFERROR(VLOOKUP(AD102,'Rating Factors'!$BS:$BT,2,FALSE),1)*
      IFERROR(VLOOKUP(AC102,'Rating Factors'!$BV:$BW,2,FALSE),1),
  )
  * IFERROR(VLOOKUP(F102,'Rating Factors'!$A:$B,2,FALSE),1)
  * IFERROR(VLOOKUP(G102,'Rating Factors'!$C:$D,2,FALSE),1)
  * IFERROR(VLOOKUP(J102,'Rating Factors'!$F:$G,2,FALSE),1)
  * IFERROR(VLOOKUP(K102,'Rating Factors'!$H:$I,2,FALSE),1)
  * IFERROR(VLOOKUP(L102,'Rating Factors'!$J:$K,2,FALSE),1)
  * IFERROR(VLOOKUP(M102,'Rating Factors'!$L:$M,2,FALSE),1)
  * IFERROR(VLOOKUP(N102,'Rating Factors'!$N:$O,2,FALSE),1)
  * IFERROR(VLOOKUP(O102,'Rating Factors'!$P:$Q,2,FALSE),1)
  * IFERROR(VLOOKUP(P102,'Rating Factors'!$BO:$BP,2,FALSE),1)
  * IFERROR(VLOOKUP(Q102,'Rating Factors'!$BQ:$BR,2,FALSE),1)
  * IFERROR(VLOOKUP(R102,'Rating Factors'!$R:$S,2,FALSE),1)
  * IFERROR(VLOOKUP(S102,'Rating Factors'!$T:$U,2,FALSE),1)
  * IFERROR(VLOOKUP(T102,'Rating Factors'!$V:$W,2,FALSE),1)
  * IFERROR(VLOOKUP(U102,'Rating Factors'!$X:$Y,2,FALSE),1)
  * IFERROR(VLOOKUP(AI102,'Rating Factors'!$AB:$AC,2,FALSE),1)
  * IFERROR(VLOOKUP(AK102,'Rating Factors'!$AK:$AL,2,FALSE),1)
  * IFERROR(VLOOKUP(AL102,'Rating Factors'!$AP:$AQ,2,FALSE),1)
  * IFERROR(LOOKUP(SUM($W$8:$Z$127),'Rating Factors'!$BD:$BD,'Rating Factors'!$BE:$BE),1))</f>
        <v>0</v>
      </c>
      <c r="AY102" s="158">
        <f>IF(OR(AQ102="Declined", AN102&lt;&gt;"Y"),
   0,
   N(AT102)*N('Rating Factors'!$AG$2)/100
)</f>
        <v>0</v>
      </c>
      <c r="AZ102" s="158">
        <f t="shared" si="22"/>
        <v>0</v>
      </c>
      <c r="BA102" s="142">
        <f>_xlfn.LET(
  _xlpm.base_ok, AND(AQ102&lt;&gt;"Declined", N(AQ102)&gt;0),
  _xlpm.is_full, EXACT(AG102, "Full Limit"),
  _xlpm.total_tiv, SUM($AT$8:$AT$127),
  _xlpm.loc_tiv, N(BE102),
  _xlpm.full_rate, N('Rating Factors'!$AO$10),
  _xlpm.min_per_loc, N('Rating Factors'!$AN$10),
  _xlpm.n_locs, N(E99),
  _xlpm.sched_prem, MAX(_xlpm.total_tiv*_xlpm.full_rate, _xlpm.min_per_loc*_xlpm.n_locs),
  _xlpm.alloc_prem, IF(_xlpm.total_tiv=0, 0, _xlpm.sched_prem * _xlpm.loc_tiv / _xlpm.total_tiv),
  _xlpm.cap_prem, IFERROR(VLOOKUP(AG102, 'Rating Factors'!$AM:$AN, 2, FALSE), 0),
  IF(_xlpm.base_ok,
     IF(_xlpm.is_full, _xlpm.alloc_prem, _xlpm.cap_prem),
     0
  )
)</f>
        <v>0</v>
      </c>
      <c r="BB102" s="143">
        <f t="shared" si="15"/>
        <v>0</v>
      </c>
      <c r="BC102" s="144">
        <f t="shared" si="23"/>
        <v>0</v>
      </c>
      <c r="BD102" s="145">
        <f t="shared" si="24"/>
        <v>0</v>
      </c>
      <c r="BE102" s="115">
        <f t="shared" si="16"/>
        <v>0</v>
      </c>
      <c r="BF102" s="106" t="str">
        <f t="shared" si="25"/>
        <v/>
      </c>
      <c r="BG102"/>
      <c r="BI102" s="67" t="str" cm="1">
        <f t="array" ref="BI102">IF(E102="","",LEFT(_xlfn.REGEXEXTRACT(UPPER(E102),"[A-Z][0-9][A-Z][ -]?[0-9][A-Z][0-9]"),3))</f>
        <v/>
      </c>
      <c r="BJ102" s="66" t="str">
        <f>IF(E102="","",_xlfn.XLOOKUP(BI102, CrestaP!B:B, CrestaP!D:D, ""))</f>
        <v/>
      </c>
      <c r="BK102" s="66" t="str">
        <f>IFERROR(
  INDEX(
    CrestaP!H4:M9,
    MATCH(J102, {"Frame","Brick Veneer","Joisted Masonry","Non-Combustible","Masonry Non-Combustible","Fire resistive"}, 0),
    MATCH(TEXT(BJ102,"@"), {"16","E5","E4","E3","E2","E1"}, 0)
  ),
  ""
)</f>
        <v/>
      </c>
    </row>
    <row r="103" spans="2:63" hidden="1" x14ac:dyDescent="0.25">
      <c r="B103"/>
      <c r="C103" s="24">
        <f t="shared" si="26"/>
        <v>96</v>
      </c>
      <c r="D103" s="25" t="s">
        <v>30</v>
      </c>
      <c r="E103" s="175"/>
      <c r="F103" s="89"/>
      <c r="G103" s="89"/>
      <c r="H103" s="104"/>
      <c r="I103" s="104"/>
      <c r="J103" s="89"/>
      <c r="K103" s="89"/>
      <c r="L103" s="89"/>
      <c r="M103" s="89"/>
      <c r="N103" s="89"/>
      <c r="O103" s="89"/>
      <c r="P103" s="104"/>
      <c r="Q103" s="104"/>
      <c r="R103" s="89"/>
      <c r="S103" s="89"/>
      <c r="T103" s="89"/>
      <c r="U103" s="25"/>
      <c r="V103" s="119"/>
      <c r="W103" s="19"/>
      <c r="X103" s="104"/>
      <c r="Y103" s="104"/>
      <c r="Z103" s="104"/>
      <c r="AA103" s="19"/>
      <c r="AB103" s="160" t="str">
        <f>IF(OR(AA103="",G103=""),"",VLOOKUP(G103,'Rating Factors'!$C:$E,3,FALSE)*AA103)</f>
        <v/>
      </c>
      <c r="AC103" s="20"/>
      <c r="AD103" s="20"/>
      <c r="AE103" s="104"/>
      <c r="AF103" s="96"/>
      <c r="AG103" s="20"/>
      <c r="AH103" s="119"/>
      <c r="AI103" s="19"/>
      <c r="AJ103" s="19"/>
      <c r="AK103" s="19"/>
      <c r="AL103" s="96"/>
      <c r="AM103" s="119"/>
      <c r="AN103" s="19"/>
      <c r="AO103" s="20"/>
      <c r="AP103" s="119"/>
      <c r="AQ103" s="115">
        <f t="shared" si="17"/>
        <v>0</v>
      </c>
      <c r="AR103" s="171">
        <f>IF(OR(Z103="",N(Z103)=0),
IF(
N(H103)+N(I103)=0,
0,
MAX(
IFERROR(VLOOKUP(AE103,'Rating Factors'!$BJ:$BK,2,FALSE),0),
((N(H103)*'Rating Factors'!$BF$2)+(N(I103)*'Rating Factors'!$BG$2))
*IFERROR(VLOOKUP(AE103,'Rating Factors'!$Z:$AA,2,FALSE),1)
*IFERROR(VLOOKUP(AJ103,'Rating Factors'!$AD:$AE,2,FALSE),1)
*IFERROR(VLOOKUP(SUM($H$8:$H$127),'Rating Factors'!$BM:$BN,2),1)
*IFERROR(VLOOKUP(SUM($I$8:$I$127),'Rating Factors'!$BH:$BI,2),1)
)
),
MAX(IFERROR(VLOOKUP(AE103,'Rating Factors'!$BJ:$BL,3,FALSE),0),
((N(I103)*'Rating Factors'!$BG$2))
*IFERROR(VLOOKUP(AE103,'Rating Factors'!$Z:$AA,2,FALSE),1)
*IFERROR(VLOOKUP(AJ103,'Rating Factors'!$AD:$AE,2,FALSE),1)
*N(AA103)* IFERROR(VLOOKUP(G103,'Rating Factors'!$C:$D,2,FALSE),1)*0.0045
))</f>
        <v>0</v>
      </c>
      <c r="AS103" s="172">
        <f t="shared" si="18"/>
        <v>0</v>
      </c>
      <c r="AT103" s="115">
        <f t="shared" si="19"/>
        <v>0</v>
      </c>
      <c r="AU103" s="173" t="str">
        <f t="shared" si="20"/>
        <v/>
      </c>
      <c r="AV103" s="174" t="str">
        <f t="shared" si="21"/>
        <v/>
      </c>
      <c r="AW103" s="119"/>
      <c r="AX103" s="141">
        <f>IF(
  OR(
    IFERROR(VLOOKUP(F103,'Rating Factors'!$A:$B,2,FALSE)="Decline",FALSE),
    IFERROR(VLOOKUP(G103,'Rating Factors'!$C:$D,2,FALSE)="Decline",FALSE),
    IFERROR(VLOOKUP(J103,'Rating Factors'!$F:$G,2,FALSE)="Decline",FALSE),
    IFERROR(VLOOKUP(K103,'Rating Factors'!$H:$I,2,FALSE)="Decline",FALSE),
    IFERROR(VLOOKUP(L103,'Rating Factors'!$J:$K,2,FALSE)="Decline",FALSE),
    IFERROR(VLOOKUP(M103,'Rating Factors'!$L:$M,2,FALSE)="Decline",FALSE),
    IFERROR(VLOOKUP(N103,'Rating Factors'!$N:$O,2,FALSE)="Decline",FALSE),
    IFERROR(VLOOKUP(O103,'Rating Factors'!$P:$Q,2,FALSE)="Decline",FALSE),
    IFERROR(VLOOKUP(P103,'Rating Factors'!$BO:$BP,2,FALSE)="Decline",FALSE),
    IFERROR(VLOOKUP(Q103,'Rating Factors'!$BQ:$BR,2,FALSE)="Decline",FALSE),
    IFERROR(VLOOKUP(R103,'Rating Factors'!$R:$S,2,FALSE)="Decline",FALSE),
    IFERROR(VLOOKUP(S103,'Rating Factors'!$T:$U,2,FALSE)="Decline",FALSE),
    IFERROR(VLOOKUP(T103,'Rating Factors'!$V:$W,2,FALSE)="Decline",FALSE),
    IFERROR(VLOOKUP(U103,'Rating Factors'!$X:$Y,2,FALSE)="Decline",FALSE),
    IFERROR(VLOOKUP(AI103,'Rating Factors'!$AB:$AC,2,FALSE)="Decline",FALSE),
    IFERROR(VLOOKUP(AK103,'Rating Factors'!$AK:$AL,2,FALSE)="Decline",FALSE),
    IFERROR(VLOOKUP(AL103,'Rating Factors'!$AP:$AQ,2,FALSE)="Decline",FALSE)
  ),
  "Declined",
  SUM(
    W103,
    X103,
    Y103*
      IFERROR(VLOOKUP(AD103,'Rating Factors'!$BS:$BT,2,FALSE),1),
    Z103*
      IFERROR(VLOOKUP(AD103,'Rating Factors'!$BS:$BT,2,FALSE),1)*
      IFERROR(VLOOKUP(AC103,'Rating Factors'!$BV:$BW,2,FALSE),1),
  )
  * IFERROR(VLOOKUP(F103,'Rating Factors'!$A:$B,2,FALSE),1)
  * IFERROR(VLOOKUP(G103,'Rating Factors'!$C:$D,2,FALSE),1)
  * IFERROR(VLOOKUP(J103,'Rating Factors'!$F:$G,2,FALSE),1)
  * IFERROR(VLOOKUP(K103,'Rating Factors'!$H:$I,2,FALSE),1)
  * IFERROR(VLOOKUP(L103,'Rating Factors'!$J:$K,2,FALSE),1)
  * IFERROR(VLOOKUP(M103,'Rating Factors'!$L:$M,2,FALSE),1)
  * IFERROR(VLOOKUP(N103,'Rating Factors'!$N:$O,2,FALSE),1)
  * IFERROR(VLOOKUP(O103,'Rating Factors'!$P:$Q,2,FALSE),1)
  * IFERROR(VLOOKUP(P103,'Rating Factors'!$BO:$BP,2,FALSE),1)
  * IFERROR(VLOOKUP(Q103,'Rating Factors'!$BQ:$BR,2,FALSE),1)
  * IFERROR(VLOOKUP(R103,'Rating Factors'!$R:$S,2,FALSE),1)
  * IFERROR(VLOOKUP(S103,'Rating Factors'!$T:$U,2,FALSE),1)
  * IFERROR(VLOOKUP(T103,'Rating Factors'!$V:$W,2,FALSE),1)
  * IFERROR(VLOOKUP(U103,'Rating Factors'!$X:$Y,2,FALSE),1)
  * IFERROR(VLOOKUP(AI103,'Rating Factors'!$AB:$AC,2,FALSE),1)
  * IFERROR(VLOOKUP(AK103,'Rating Factors'!$AK:$AL,2,FALSE),1)
  * IFERROR(VLOOKUP(AL103,'Rating Factors'!$AP:$AQ,2,FALSE),1)
  * IFERROR(LOOKUP(SUM($W$8:$Z$127),'Rating Factors'!$BD:$BD,'Rating Factors'!$BE:$BE),1))</f>
        <v>0</v>
      </c>
      <c r="AY103" s="158">
        <f>IF(OR(AQ103="Declined", AN103&lt;&gt;"Y"),
   0,
   N(AT103)*N('Rating Factors'!$AG$2)/100
)</f>
        <v>0</v>
      </c>
      <c r="AZ103" s="158">
        <f t="shared" si="22"/>
        <v>0</v>
      </c>
      <c r="BA103" s="142">
        <f>_xlfn.LET(
  _xlpm.base_ok, AND(AQ103&lt;&gt;"Declined", N(AQ103)&gt;0),
  _xlpm.is_full, EXACT(AG103, "Full Limit"),
  _xlpm.total_tiv, SUM($AT$8:$AT$127),
  _xlpm.loc_tiv, N(BE103),
  _xlpm.full_rate, N('Rating Factors'!$AO$10),
  _xlpm.min_per_loc, N('Rating Factors'!$AN$10),
  _xlpm.n_locs, N(E100),
  _xlpm.sched_prem, MAX(_xlpm.total_tiv*_xlpm.full_rate, _xlpm.min_per_loc*_xlpm.n_locs),
  _xlpm.alloc_prem, IF(_xlpm.total_tiv=0, 0, _xlpm.sched_prem * _xlpm.loc_tiv / _xlpm.total_tiv),
  _xlpm.cap_prem, IFERROR(VLOOKUP(AG103, 'Rating Factors'!$AM:$AN, 2, FALSE), 0),
  IF(_xlpm.base_ok,
     IF(_xlpm.is_full, _xlpm.alloc_prem, _xlpm.cap_prem),
     0
  )
)</f>
        <v>0</v>
      </c>
      <c r="BB103" s="143">
        <f t="shared" si="15"/>
        <v>0</v>
      </c>
      <c r="BC103" s="144">
        <f t="shared" si="23"/>
        <v>0</v>
      </c>
      <c r="BD103" s="145">
        <f t="shared" si="24"/>
        <v>0</v>
      </c>
      <c r="BE103" s="115">
        <f t="shared" si="16"/>
        <v>0</v>
      </c>
      <c r="BF103" s="106" t="str">
        <f t="shared" si="25"/>
        <v/>
      </c>
      <c r="BG103"/>
      <c r="BI103" s="67" t="str" cm="1">
        <f t="array" ref="BI103">IF(E103="","",LEFT(_xlfn.REGEXEXTRACT(UPPER(E103),"[A-Z][0-9][A-Z][ -]?[0-9][A-Z][0-9]"),3))</f>
        <v/>
      </c>
      <c r="BJ103" s="66" t="str">
        <f>IF(E103="","",_xlfn.XLOOKUP(BI103, CrestaP!B:B, CrestaP!D:D, ""))</f>
        <v/>
      </c>
      <c r="BK103" s="66" t="str">
        <f>IFERROR(
  INDEX(
    CrestaP!H4:M9,
    MATCH(J103, {"Frame","Brick Veneer","Joisted Masonry","Non-Combustible","Masonry Non-Combustible","Fire resistive"}, 0),
    MATCH(TEXT(BJ103,"@"), {"16","E5","E4","E3","E2","E1"}, 0)
  ),
  ""
)</f>
        <v/>
      </c>
    </row>
    <row r="104" spans="2:63" hidden="1" x14ac:dyDescent="0.25">
      <c r="B104"/>
      <c r="C104" s="24">
        <f t="shared" si="26"/>
        <v>97</v>
      </c>
      <c r="D104" s="25" t="s">
        <v>30</v>
      </c>
      <c r="E104" s="175"/>
      <c r="F104" s="89"/>
      <c r="G104" s="89"/>
      <c r="H104" s="104"/>
      <c r="I104" s="104"/>
      <c r="J104" s="89"/>
      <c r="K104" s="89"/>
      <c r="L104" s="89"/>
      <c r="M104" s="89"/>
      <c r="N104" s="89"/>
      <c r="O104" s="89"/>
      <c r="P104" s="104"/>
      <c r="Q104" s="104"/>
      <c r="R104" s="89"/>
      <c r="S104" s="89"/>
      <c r="T104" s="89"/>
      <c r="U104" s="25"/>
      <c r="V104" s="119"/>
      <c r="W104" s="19"/>
      <c r="X104" s="104"/>
      <c r="Y104" s="104"/>
      <c r="Z104" s="104"/>
      <c r="AA104" s="19"/>
      <c r="AB104" s="160" t="str">
        <f>IF(OR(AA104="",G104=""),"",VLOOKUP(G104,'Rating Factors'!$C:$E,3,FALSE)*AA104)</f>
        <v/>
      </c>
      <c r="AC104" s="20"/>
      <c r="AD104" s="20"/>
      <c r="AE104" s="104"/>
      <c r="AF104" s="96"/>
      <c r="AG104" s="20"/>
      <c r="AH104" s="119"/>
      <c r="AI104" s="19"/>
      <c r="AJ104" s="19"/>
      <c r="AK104" s="19"/>
      <c r="AL104" s="96"/>
      <c r="AM104" s="119"/>
      <c r="AN104" s="19"/>
      <c r="AO104" s="20"/>
      <c r="AP104" s="119"/>
      <c r="AQ104" s="115">
        <f t="shared" si="17"/>
        <v>0</v>
      </c>
      <c r="AR104" s="171">
        <f>IF(OR(Z104="",N(Z104)=0),
IF(
N(H104)+N(I104)=0,
0,
MAX(
IFERROR(VLOOKUP(AE104,'Rating Factors'!$BJ:$BK,2,FALSE),0),
((N(H104)*'Rating Factors'!$BF$2)+(N(I104)*'Rating Factors'!$BG$2))
*IFERROR(VLOOKUP(AE104,'Rating Factors'!$Z:$AA,2,FALSE),1)
*IFERROR(VLOOKUP(AJ104,'Rating Factors'!$AD:$AE,2,FALSE),1)
*IFERROR(VLOOKUP(SUM($H$8:$H$127),'Rating Factors'!$BM:$BN,2),1)
*IFERROR(VLOOKUP(SUM($I$8:$I$127),'Rating Factors'!$BH:$BI,2),1)
)
),
MAX(IFERROR(VLOOKUP(AE104,'Rating Factors'!$BJ:$BL,3,FALSE),0),
((N(I104)*'Rating Factors'!$BG$2))
*IFERROR(VLOOKUP(AE104,'Rating Factors'!$Z:$AA,2,FALSE),1)
*IFERROR(VLOOKUP(AJ104,'Rating Factors'!$AD:$AE,2,FALSE),1)
*N(AA104)* IFERROR(VLOOKUP(G104,'Rating Factors'!$C:$D,2,FALSE),1)*0.0045
))</f>
        <v>0</v>
      </c>
      <c r="AS104" s="172">
        <f t="shared" si="18"/>
        <v>0</v>
      </c>
      <c r="AT104" s="115">
        <f t="shared" si="19"/>
        <v>0</v>
      </c>
      <c r="AU104" s="173" t="str">
        <f t="shared" si="20"/>
        <v/>
      </c>
      <c r="AV104" s="174" t="str">
        <f t="shared" si="21"/>
        <v/>
      </c>
      <c r="AW104" s="119"/>
      <c r="AX104" s="141">
        <f>IF(
  OR(
    IFERROR(VLOOKUP(F104,'Rating Factors'!$A:$B,2,FALSE)="Decline",FALSE),
    IFERROR(VLOOKUP(G104,'Rating Factors'!$C:$D,2,FALSE)="Decline",FALSE),
    IFERROR(VLOOKUP(J104,'Rating Factors'!$F:$G,2,FALSE)="Decline",FALSE),
    IFERROR(VLOOKUP(K104,'Rating Factors'!$H:$I,2,FALSE)="Decline",FALSE),
    IFERROR(VLOOKUP(L104,'Rating Factors'!$J:$K,2,FALSE)="Decline",FALSE),
    IFERROR(VLOOKUP(M104,'Rating Factors'!$L:$M,2,FALSE)="Decline",FALSE),
    IFERROR(VLOOKUP(N104,'Rating Factors'!$N:$O,2,FALSE)="Decline",FALSE),
    IFERROR(VLOOKUP(O104,'Rating Factors'!$P:$Q,2,FALSE)="Decline",FALSE),
    IFERROR(VLOOKUP(P104,'Rating Factors'!$BO:$BP,2,FALSE)="Decline",FALSE),
    IFERROR(VLOOKUP(Q104,'Rating Factors'!$BQ:$BR,2,FALSE)="Decline",FALSE),
    IFERROR(VLOOKUP(R104,'Rating Factors'!$R:$S,2,FALSE)="Decline",FALSE),
    IFERROR(VLOOKUP(S104,'Rating Factors'!$T:$U,2,FALSE)="Decline",FALSE),
    IFERROR(VLOOKUP(T104,'Rating Factors'!$V:$W,2,FALSE)="Decline",FALSE),
    IFERROR(VLOOKUP(U104,'Rating Factors'!$X:$Y,2,FALSE)="Decline",FALSE),
    IFERROR(VLOOKUP(AI104,'Rating Factors'!$AB:$AC,2,FALSE)="Decline",FALSE),
    IFERROR(VLOOKUP(AK104,'Rating Factors'!$AK:$AL,2,FALSE)="Decline",FALSE),
    IFERROR(VLOOKUP(AL104,'Rating Factors'!$AP:$AQ,2,FALSE)="Decline",FALSE)
  ),
  "Declined",
  SUM(
    W104,
    X104,
    Y104*
      IFERROR(VLOOKUP(AD104,'Rating Factors'!$BS:$BT,2,FALSE),1),
    Z104*
      IFERROR(VLOOKUP(AD104,'Rating Factors'!$BS:$BT,2,FALSE),1)*
      IFERROR(VLOOKUP(AC104,'Rating Factors'!$BV:$BW,2,FALSE),1),
  )
  * IFERROR(VLOOKUP(F104,'Rating Factors'!$A:$B,2,FALSE),1)
  * IFERROR(VLOOKUP(G104,'Rating Factors'!$C:$D,2,FALSE),1)
  * IFERROR(VLOOKUP(J104,'Rating Factors'!$F:$G,2,FALSE),1)
  * IFERROR(VLOOKUP(K104,'Rating Factors'!$H:$I,2,FALSE),1)
  * IFERROR(VLOOKUP(L104,'Rating Factors'!$J:$K,2,FALSE),1)
  * IFERROR(VLOOKUP(M104,'Rating Factors'!$L:$M,2,FALSE),1)
  * IFERROR(VLOOKUP(N104,'Rating Factors'!$N:$O,2,FALSE),1)
  * IFERROR(VLOOKUP(O104,'Rating Factors'!$P:$Q,2,FALSE),1)
  * IFERROR(VLOOKUP(P104,'Rating Factors'!$BO:$BP,2,FALSE),1)
  * IFERROR(VLOOKUP(Q104,'Rating Factors'!$BQ:$BR,2,FALSE),1)
  * IFERROR(VLOOKUP(R104,'Rating Factors'!$R:$S,2,FALSE),1)
  * IFERROR(VLOOKUP(S104,'Rating Factors'!$T:$U,2,FALSE),1)
  * IFERROR(VLOOKUP(T104,'Rating Factors'!$V:$W,2,FALSE),1)
  * IFERROR(VLOOKUP(U104,'Rating Factors'!$X:$Y,2,FALSE),1)
  * IFERROR(VLOOKUP(AI104,'Rating Factors'!$AB:$AC,2,FALSE),1)
  * IFERROR(VLOOKUP(AK104,'Rating Factors'!$AK:$AL,2,FALSE),1)
  * IFERROR(VLOOKUP(AL104,'Rating Factors'!$AP:$AQ,2,FALSE),1)
  * IFERROR(LOOKUP(SUM($W$8:$Z$127),'Rating Factors'!$BD:$BD,'Rating Factors'!$BE:$BE),1))</f>
        <v>0</v>
      </c>
      <c r="AY104" s="158">
        <f>IF(OR(AQ104="Declined", AN104&lt;&gt;"Y"),
   0,
   N(AT104)*N('Rating Factors'!$AG$2)/100
)</f>
        <v>0</v>
      </c>
      <c r="AZ104" s="158">
        <f t="shared" si="22"/>
        <v>0</v>
      </c>
      <c r="BA104" s="142">
        <f>_xlfn.LET(
  _xlpm.base_ok, AND(AQ104&lt;&gt;"Declined", N(AQ104)&gt;0),
  _xlpm.is_full, EXACT(AG104, "Full Limit"),
  _xlpm.total_tiv, SUM($AT$8:$AT$127),
  _xlpm.loc_tiv, N(BE104),
  _xlpm.full_rate, N('Rating Factors'!$AO$10),
  _xlpm.min_per_loc, N('Rating Factors'!$AN$10),
  _xlpm.n_locs, N(E101),
  _xlpm.sched_prem, MAX(_xlpm.total_tiv*_xlpm.full_rate, _xlpm.min_per_loc*_xlpm.n_locs),
  _xlpm.alloc_prem, IF(_xlpm.total_tiv=0, 0, _xlpm.sched_prem * _xlpm.loc_tiv / _xlpm.total_tiv),
  _xlpm.cap_prem, IFERROR(VLOOKUP(AG104, 'Rating Factors'!$AM:$AN, 2, FALSE), 0),
  IF(_xlpm.base_ok,
     IF(_xlpm.is_full, _xlpm.alloc_prem, _xlpm.cap_prem),
     0
  )
)</f>
        <v>0</v>
      </c>
      <c r="BB104" s="143">
        <f t="shared" ref="BB104:BB127" si="27">SUM(AX104:BA104)</f>
        <v>0</v>
      </c>
      <c r="BC104" s="144">
        <f t="shared" si="23"/>
        <v>0</v>
      </c>
      <c r="BD104" s="145">
        <f t="shared" si="24"/>
        <v>0</v>
      </c>
      <c r="BE104" s="115">
        <f t="shared" ref="BE104:BE127" si="28">AT104</f>
        <v>0</v>
      </c>
      <c r="BF104" s="106" t="str">
        <f t="shared" si="25"/>
        <v/>
      </c>
      <c r="BG104"/>
      <c r="BI104" s="67" t="str" cm="1">
        <f t="array" ref="BI104">IF(E104="","",LEFT(_xlfn.REGEXEXTRACT(UPPER(E104),"[A-Z][0-9][A-Z][ -]?[0-9][A-Z][0-9]"),3))</f>
        <v/>
      </c>
      <c r="BJ104" s="66" t="str">
        <f>IF(E104="","",_xlfn.XLOOKUP(BI104, CrestaP!B:B, CrestaP!D:D, ""))</f>
        <v/>
      </c>
      <c r="BK104" s="66" t="str">
        <f>IFERROR(
  INDEX(
    CrestaP!H4:M9,
    MATCH(J104, {"Frame","Brick Veneer","Joisted Masonry","Non-Combustible","Masonry Non-Combustible","Fire resistive"}, 0),
    MATCH(TEXT(BJ104,"@"), {"16","E5","E4","E3","E2","E1"}, 0)
  ),
  ""
)</f>
        <v/>
      </c>
    </row>
    <row r="105" spans="2:63" hidden="1" x14ac:dyDescent="0.25">
      <c r="B105"/>
      <c r="C105" s="24">
        <f t="shared" si="26"/>
        <v>98</v>
      </c>
      <c r="D105" s="25" t="s">
        <v>30</v>
      </c>
      <c r="E105" s="175"/>
      <c r="F105" s="89"/>
      <c r="G105" s="89"/>
      <c r="H105" s="104"/>
      <c r="I105" s="104"/>
      <c r="J105" s="89"/>
      <c r="K105" s="89"/>
      <c r="L105" s="89"/>
      <c r="M105" s="89"/>
      <c r="N105" s="89"/>
      <c r="O105" s="89"/>
      <c r="P105" s="104"/>
      <c r="Q105" s="104"/>
      <c r="R105" s="89"/>
      <c r="S105" s="89"/>
      <c r="T105" s="89"/>
      <c r="U105" s="25"/>
      <c r="V105" s="119"/>
      <c r="W105" s="19"/>
      <c r="X105" s="104"/>
      <c r="Y105" s="104"/>
      <c r="Z105" s="104"/>
      <c r="AA105" s="19"/>
      <c r="AB105" s="160" t="str">
        <f>IF(OR(AA105="",G105=""),"",VLOOKUP(G105,'Rating Factors'!$C:$E,3,FALSE)*AA105)</f>
        <v/>
      </c>
      <c r="AC105" s="20"/>
      <c r="AD105" s="20"/>
      <c r="AE105" s="104"/>
      <c r="AF105" s="96"/>
      <c r="AG105" s="20"/>
      <c r="AH105" s="119"/>
      <c r="AI105" s="19"/>
      <c r="AJ105" s="19"/>
      <c r="AK105" s="19"/>
      <c r="AL105" s="96"/>
      <c r="AM105" s="119"/>
      <c r="AN105" s="19"/>
      <c r="AO105" s="20"/>
      <c r="AP105" s="119"/>
      <c r="AQ105" s="115">
        <f t="shared" si="17"/>
        <v>0</v>
      </c>
      <c r="AR105" s="171">
        <f>IF(OR(Z105="",N(Z105)=0),
IF(
N(H105)+N(I105)=0,
0,
MAX(
IFERROR(VLOOKUP(AE105,'Rating Factors'!$BJ:$BK,2,FALSE),0),
((N(H105)*'Rating Factors'!$BF$2)+(N(I105)*'Rating Factors'!$BG$2))
*IFERROR(VLOOKUP(AE105,'Rating Factors'!$Z:$AA,2,FALSE),1)
*IFERROR(VLOOKUP(AJ105,'Rating Factors'!$AD:$AE,2,FALSE),1)
*IFERROR(VLOOKUP(SUM($H$8:$H$127),'Rating Factors'!$BM:$BN,2),1)
*IFERROR(VLOOKUP(SUM($I$8:$I$127),'Rating Factors'!$BH:$BI,2),1)
)
),
MAX(IFERROR(VLOOKUP(AE105,'Rating Factors'!$BJ:$BL,3,FALSE),0),
((N(I105)*'Rating Factors'!$BG$2))
*IFERROR(VLOOKUP(AE105,'Rating Factors'!$Z:$AA,2,FALSE),1)
*IFERROR(VLOOKUP(AJ105,'Rating Factors'!$AD:$AE,2,FALSE),1)
*N(AA105)* IFERROR(VLOOKUP(G105,'Rating Factors'!$C:$D,2,FALSE),1)*0.0045
))</f>
        <v>0</v>
      </c>
      <c r="AS105" s="172">
        <f t="shared" si="18"/>
        <v>0</v>
      </c>
      <c r="AT105" s="115">
        <f t="shared" si="19"/>
        <v>0</v>
      </c>
      <c r="AU105" s="173" t="str">
        <f t="shared" si="20"/>
        <v/>
      </c>
      <c r="AV105" s="174" t="str">
        <f t="shared" si="21"/>
        <v/>
      </c>
      <c r="AW105" s="119"/>
      <c r="AX105" s="141">
        <f>IF(
  OR(
    IFERROR(VLOOKUP(F105,'Rating Factors'!$A:$B,2,FALSE)="Decline",FALSE),
    IFERROR(VLOOKUP(G105,'Rating Factors'!$C:$D,2,FALSE)="Decline",FALSE),
    IFERROR(VLOOKUP(J105,'Rating Factors'!$F:$G,2,FALSE)="Decline",FALSE),
    IFERROR(VLOOKUP(K105,'Rating Factors'!$H:$I,2,FALSE)="Decline",FALSE),
    IFERROR(VLOOKUP(L105,'Rating Factors'!$J:$K,2,FALSE)="Decline",FALSE),
    IFERROR(VLOOKUP(M105,'Rating Factors'!$L:$M,2,FALSE)="Decline",FALSE),
    IFERROR(VLOOKUP(N105,'Rating Factors'!$N:$O,2,FALSE)="Decline",FALSE),
    IFERROR(VLOOKUP(O105,'Rating Factors'!$P:$Q,2,FALSE)="Decline",FALSE),
    IFERROR(VLOOKUP(P105,'Rating Factors'!$BO:$BP,2,FALSE)="Decline",FALSE),
    IFERROR(VLOOKUP(Q105,'Rating Factors'!$BQ:$BR,2,FALSE)="Decline",FALSE),
    IFERROR(VLOOKUP(R105,'Rating Factors'!$R:$S,2,FALSE)="Decline",FALSE),
    IFERROR(VLOOKUP(S105,'Rating Factors'!$T:$U,2,FALSE)="Decline",FALSE),
    IFERROR(VLOOKUP(T105,'Rating Factors'!$V:$W,2,FALSE)="Decline",FALSE),
    IFERROR(VLOOKUP(U105,'Rating Factors'!$X:$Y,2,FALSE)="Decline",FALSE),
    IFERROR(VLOOKUP(AI105,'Rating Factors'!$AB:$AC,2,FALSE)="Decline",FALSE),
    IFERROR(VLOOKUP(AK105,'Rating Factors'!$AK:$AL,2,FALSE)="Decline",FALSE),
    IFERROR(VLOOKUP(AL105,'Rating Factors'!$AP:$AQ,2,FALSE)="Decline",FALSE)
  ),
  "Declined",
  SUM(
    W105,
    X105,
    Y105*
      IFERROR(VLOOKUP(AD105,'Rating Factors'!$BS:$BT,2,FALSE),1),
    Z105*
      IFERROR(VLOOKUP(AD105,'Rating Factors'!$BS:$BT,2,FALSE),1)*
      IFERROR(VLOOKUP(AC105,'Rating Factors'!$BV:$BW,2,FALSE),1),
  )
  * IFERROR(VLOOKUP(F105,'Rating Factors'!$A:$B,2,FALSE),1)
  * IFERROR(VLOOKUP(G105,'Rating Factors'!$C:$D,2,FALSE),1)
  * IFERROR(VLOOKUP(J105,'Rating Factors'!$F:$G,2,FALSE),1)
  * IFERROR(VLOOKUP(K105,'Rating Factors'!$H:$I,2,FALSE),1)
  * IFERROR(VLOOKUP(L105,'Rating Factors'!$J:$K,2,FALSE),1)
  * IFERROR(VLOOKUP(M105,'Rating Factors'!$L:$M,2,FALSE),1)
  * IFERROR(VLOOKUP(N105,'Rating Factors'!$N:$O,2,FALSE),1)
  * IFERROR(VLOOKUP(O105,'Rating Factors'!$P:$Q,2,FALSE),1)
  * IFERROR(VLOOKUP(P105,'Rating Factors'!$BO:$BP,2,FALSE),1)
  * IFERROR(VLOOKUP(Q105,'Rating Factors'!$BQ:$BR,2,FALSE),1)
  * IFERROR(VLOOKUP(R105,'Rating Factors'!$R:$S,2,FALSE),1)
  * IFERROR(VLOOKUP(S105,'Rating Factors'!$T:$U,2,FALSE),1)
  * IFERROR(VLOOKUP(T105,'Rating Factors'!$V:$W,2,FALSE),1)
  * IFERROR(VLOOKUP(U105,'Rating Factors'!$X:$Y,2,FALSE),1)
  * IFERROR(VLOOKUP(AI105,'Rating Factors'!$AB:$AC,2,FALSE),1)
  * IFERROR(VLOOKUP(AK105,'Rating Factors'!$AK:$AL,2,FALSE),1)
  * IFERROR(VLOOKUP(AL105,'Rating Factors'!$AP:$AQ,2,FALSE),1)
  * IFERROR(LOOKUP(SUM($W$8:$Z$127),'Rating Factors'!$BD:$BD,'Rating Factors'!$BE:$BE),1))</f>
        <v>0</v>
      </c>
      <c r="AY105" s="158">
        <f>IF(OR(AQ105="Declined", AN105&lt;&gt;"Y"),
   0,
   N(AT105)*N('Rating Factors'!$AG$2)/100
)</f>
        <v>0</v>
      </c>
      <c r="AZ105" s="158">
        <f t="shared" ref="AZ105:AZ127" si="29">IF(OR(AQ105="Declined", AO105&lt;&gt;"Y", E105=""),
   0,
   N(AT105)*N(BK105)/100
)</f>
        <v>0</v>
      </c>
      <c r="BA105" s="142">
        <f>_xlfn.LET(
  _xlpm.base_ok, AND(AQ105&lt;&gt;"Declined", N(AQ105)&gt;0),
  _xlpm.is_full, EXACT(AG105, "Full Limit"),
  _xlpm.total_tiv, SUM($AT$8:$AT$127),
  _xlpm.loc_tiv, N(BE105),
  _xlpm.full_rate, N('Rating Factors'!$AO$10),
  _xlpm.min_per_loc, N('Rating Factors'!$AN$10),
  _xlpm.n_locs, N(E102),
  _xlpm.sched_prem, MAX(_xlpm.total_tiv*_xlpm.full_rate, _xlpm.min_per_loc*_xlpm.n_locs),
  _xlpm.alloc_prem, IF(_xlpm.total_tiv=0, 0, _xlpm.sched_prem * _xlpm.loc_tiv / _xlpm.total_tiv),
  _xlpm.cap_prem, IFERROR(VLOOKUP(AG105, 'Rating Factors'!$AM:$AN, 2, FALSE), 0),
  IF(_xlpm.base_ok,
     IF(_xlpm.is_full, _xlpm.alloc_prem, _xlpm.cap_prem),
     0
  )
)</f>
        <v>0</v>
      </c>
      <c r="BB105" s="143">
        <f t="shared" si="27"/>
        <v>0</v>
      </c>
      <c r="BC105" s="144">
        <f t="shared" si="23"/>
        <v>0</v>
      </c>
      <c r="BD105" s="145">
        <f t="shared" si="24"/>
        <v>0</v>
      </c>
      <c r="BE105" s="115">
        <f t="shared" si="28"/>
        <v>0</v>
      </c>
      <c r="BF105" s="106" t="str">
        <f t="shared" si="25"/>
        <v/>
      </c>
      <c r="BG105"/>
      <c r="BI105" s="67" t="str" cm="1">
        <f t="array" ref="BI105">IF(E105="","",LEFT(_xlfn.REGEXEXTRACT(UPPER(E105),"[A-Z][0-9][A-Z][ -]?[0-9][A-Z][0-9]"),3))</f>
        <v/>
      </c>
      <c r="BJ105" s="66" t="str">
        <f>IF(E105="","",_xlfn.XLOOKUP(BI105, CrestaP!B:B, CrestaP!D:D, ""))</f>
        <v/>
      </c>
      <c r="BK105" s="66" t="str">
        <f>IFERROR(
  INDEX(
    CrestaP!H4:M9,
    MATCH(J105, {"Frame","Brick Veneer","Joisted Masonry","Non-Combustible","Masonry Non-Combustible","Fire resistive"}, 0),
    MATCH(TEXT(BJ105,"@"), {"16","E5","E4","E3","E2","E1"}, 0)
  ),
  ""
)</f>
        <v/>
      </c>
    </row>
    <row r="106" spans="2:63" hidden="1" x14ac:dyDescent="0.25">
      <c r="B106"/>
      <c r="C106" s="24">
        <f t="shared" si="26"/>
        <v>99</v>
      </c>
      <c r="D106" s="25" t="s">
        <v>30</v>
      </c>
      <c r="E106" s="175"/>
      <c r="F106" s="89"/>
      <c r="G106" s="89"/>
      <c r="H106" s="104"/>
      <c r="I106" s="104"/>
      <c r="J106" s="89"/>
      <c r="K106" s="89"/>
      <c r="L106" s="89"/>
      <c r="M106" s="89"/>
      <c r="N106" s="89"/>
      <c r="O106" s="89"/>
      <c r="P106" s="104"/>
      <c r="Q106" s="104"/>
      <c r="R106" s="89"/>
      <c r="S106" s="89"/>
      <c r="T106" s="89"/>
      <c r="U106" s="25"/>
      <c r="V106" s="119"/>
      <c r="W106" s="19"/>
      <c r="X106" s="104"/>
      <c r="Y106" s="104"/>
      <c r="Z106" s="104"/>
      <c r="AA106" s="19"/>
      <c r="AB106" s="160" t="str">
        <f>IF(OR(AA106="",G106=""),"",VLOOKUP(G106,'Rating Factors'!$C:$E,3,FALSE)*AA106)</f>
        <v/>
      </c>
      <c r="AC106" s="20"/>
      <c r="AD106" s="20"/>
      <c r="AE106" s="104"/>
      <c r="AF106" s="96"/>
      <c r="AG106" s="20"/>
      <c r="AH106" s="119"/>
      <c r="AI106" s="19"/>
      <c r="AJ106" s="19"/>
      <c r="AK106" s="19"/>
      <c r="AL106" s="96"/>
      <c r="AM106" s="119"/>
      <c r="AN106" s="19"/>
      <c r="AO106" s="20"/>
      <c r="AP106" s="119"/>
      <c r="AQ106" s="115">
        <f t="shared" si="17"/>
        <v>0</v>
      </c>
      <c r="AR106" s="171">
        <f>IF(OR(Z106="",N(Z106)=0),
IF(
N(H106)+N(I106)=0,
0,
MAX(
IFERROR(VLOOKUP(AE106,'Rating Factors'!$BJ:$BK,2,FALSE),0),
((N(H106)*'Rating Factors'!$BF$2)+(N(I106)*'Rating Factors'!$BG$2))
*IFERROR(VLOOKUP(AE106,'Rating Factors'!$Z:$AA,2,FALSE),1)
*IFERROR(VLOOKUP(AJ106,'Rating Factors'!$AD:$AE,2,FALSE),1)
*IFERROR(VLOOKUP(SUM($H$8:$H$127),'Rating Factors'!$BM:$BN,2),1)
*IFERROR(VLOOKUP(SUM($I$8:$I$127),'Rating Factors'!$BH:$BI,2),1)
)
),
MAX(IFERROR(VLOOKUP(AE106,'Rating Factors'!$BJ:$BL,3,FALSE),0),
((N(I106)*'Rating Factors'!$BG$2))
*IFERROR(VLOOKUP(AE106,'Rating Factors'!$Z:$AA,2,FALSE),1)
*IFERROR(VLOOKUP(AJ106,'Rating Factors'!$AD:$AE,2,FALSE),1)
*N(AA106)* IFERROR(VLOOKUP(G106,'Rating Factors'!$C:$D,2,FALSE),1)*0.0045
))</f>
        <v>0</v>
      </c>
      <c r="AS106" s="172">
        <f t="shared" si="18"/>
        <v>0</v>
      </c>
      <c r="AT106" s="115">
        <f t="shared" si="19"/>
        <v>0</v>
      </c>
      <c r="AU106" s="173" t="str">
        <f t="shared" si="20"/>
        <v/>
      </c>
      <c r="AV106" s="174" t="str">
        <f t="shared" si="21"/>
        <v/>
      </c>
      <c r="AW106" s="119"/>
      <c r="AX106" s="141">
        <f>IF(
  OR(
    IFERROR(VLOOKUP(F106,'Rating Factors'!$A:$B,2,FALSE)="Decline",FALSE),
    IFERROR(VLOOKUP(G106,'Rating Factors'!$C:$D,2,FALSE)="Decline",FALSE),
    IFERROR(VLOOKUP(J106,'Rating Factors'!$F:$G,2,FALSE)="Decline",FALSE),
    IFERROR(VLOOKUP(K106,'Rating Factors'!$H:$I,2,FALSE)="Decline",FALSE),
    IFERROR(VLOOKUP(L106,'Rating Factors'!$J:$K,2,FALSE)="Decline",FALSE),
    IFERROR(VLOOKUP(M106,'Rating Factors'!$L:$M,2,FALSE)="Decline",FALSE),
    IFERROR(VLOOKUP(N106,'Rating Factors'!$N:$O,2,FALSE)="Decline",FALSE),
    IFERROR(VLOOKUP(O106,'Rating Factors'!$P:$Q,2,FALSE)="Decline",FALSE),
    IFERROR(VLOOKUP(P106,'Rating Factors'!$BO:$BP,2,FALSE)="Decline",FALSE),
    IFERROR(VLOOKUP(Q106,'Rating Factors'!$BQ:$BR,2,FALSE)="Decline",FALSE),
    IFERROR(VLOOKUP(R106,'Rating Factors'!$R:$S,2,FALSE)="Decline",FALSE),
    IFERROR(VLOOKUP(S106,'Rating Factors'!$T:$U,2,FALSE)="Decline",FALSE),
    IFERROR(VLOOKUP(T106,'Rating Factors'!$V:$W,2,FALSE)="Decline",FALSE),
    IFERROR(VLOOKUP(U106,'Rating Factors'!$X:$Y,2,FALSE)="Decline",FALSE),
    IFERROR(VLOOKUP(AI106,'Rating Factors'!$AB:$AC,2,FALSE)="Decline",FALSE),
    IFERROR(VLOOKUP(AK106,'Rating Factors'!$AK:$AL,2,FALSE)="Decline",FALSE),
    IFERROR(VLOOKUP(AL106,'Rating Factors'!$AP:$AQ,2,FALSE)="Decline",FALSE)
  ),
  "Declined",
  SUM(
    W106,
    X106,
    Y106*
      IFERROR(VLOOKUP(AD106,'Rating Factors'!$BS:$BT,2,FALSE),1),
    Z106*
      IFERROR(VLOOKUP(AD106,'Rating Factors'!$BS:$BT,2,FALSE),1)*
      IFERROR(VLOOKUP(AC106,'Rating Factors'!$BV:$BW,2,FALSE),1),
  )
  * IFERROR(VLOOKUP(F106,'Rating Factors'!$A:$B,2,FALSE),1)
  * IFERROR(VLOOKUP(G106,'Rating Factors'!$C:$D,2,FALSE),1)
  * IFERROR(VLOOKUP(J106,'Rating Factors'!$F:$G,2,FALSE),1)
  * IFERROR(VLOOKUP(K106,'Rating Factors'!$H:$I,2,FALSE),1)
  * IFERROR(VLOOKUP(L106,'Rating Factors'!$J:$K,2,FALSE),1)
  * IFERROR(VLOOKUP(M106,'Rating Factors'!$L:$M,2,FALSE),1)
  * IFERROR(VLOOKUP(N106,'Rating Factors'!$N:$O,2,FALSE),1)
  * IFERROR(VLOOKUP(O106,'Rating Factors'!$P:$Q,2,FALSE),1)
  * IFERROR(VLOOKUP(P106,'Rating Factors'!$BO:$BP,2,FALSE),1)
  * IFERROR(VLOOKUP(Q106,'Rating Factors'!$BQ:$BR,2,FALSE),1)
  * IFERROR(VLOOKUP(R106,'Rating Factors'!$R:$S,2,FALSE),1)
  * IFERROR(VLOOKUP(S106,'Rating Factors'!$T:$U,2,FALSE),1)
  * IFERROR(VLOOKUP(T106,'Rating Factors'!$V:$W,2,FALSE),1)
  * IFERROR(VLOOKUP(U106,'Rating Factors'!$X:$Y,2,FALSE),1)
  * IFERROR(VLOOKUP(AI106,'Rating Factors'!$AB:$AC,2,FALSE),1)
  * IFERROR(VLOOKUP(AK106,'Rating Factors'!$AK:$AL,2,FALSE),1)
  * IFERROR(VLOOKUP(AL106,'Rating Factors'!$AP:$AQ,2,FALSE),1)
  * IFERROR(LOOKUP(SUM($W$8:$Z$127),'Rating Factors'!$BD:$BD,'Rating Factors'!$BE:$BE),1))</f>
        <v>0</v>
      </c>
      <c r="AY106" s="158">
        <f>IF(OR(AQ106="Declined", AN106&lt;&gt;"Y"),
   0,
   N(AT106)*N('Rating Factors'!$AG$2)/100
)</f>
        <v>0</v>
      </c>
      <c r="AZ106" s="158">
        <f t="shared" si="29"/>
        <v>0</v>
      </c>
      <c r="BA106" s="142">
        <f>_xlfn.LET(
  _xlpm.base_ok, AND(AQ106&lt;&gt;"Declined", N(AQ106)&gt;0),
  _xlpm.is_full, EXACT(AG106, "Full Limit"),
  _xlpm.total_tiv, SUM($AT$8:$AT$127),
  _xlpm.loc_tiv, N(BE106),
  _xlpm.full_rate, N('Rating Factors'!$AO$10),
  _xlpm.min_per_loc, N('Rating Factors'!$AN$10),
  _xlpm.n_locs, N(E103),
  _xlpm.sched_prem, MAX(_xlpm.total_tiv*_xlpm.full_rate, _xlpm.min_per_loc*_xlpm.n_locs),
  _xlpm.alloc_prem, IF(_xlpm.total_tiv=0, 0, _xlpm.sched_prem * _xlpm.loc_tiv / _xlpm.total_tiv),
  _xlpm.cap_prem, IFERROR(VLOOKUP(AG106, 'Rating Factors'!$AM:$AN, 2, FALSE), 0),
  IF(_xlpm.base_ok,
     IF(_xlpm.is_full, _xlpm.alloc_prem, _xlpm.cap_prem),
     0
  )
)</f>
        <v>0</v>
      </c>
      <c r="BB106" s="143">
        <f t="shared" si="27"/>
        <v>0</v>
      </c>
      <c r="BC106" s="144">
        <f t="shared" si="23"/>
        <v>0</v>
      </c>
      <c r="BD106" s="145">
        <f t="shared" si="24"/>
        <v>0</v>
      </c>
      <c r="BE106" s="115">
        <f t="shared" si="28"/>
        <v>0</v>
      </c>
      <c r="BF106" s="106" t="str">
        <f t="shared" si="25"/>
        <v/>
      </c>
      <c r="BG106"/>
      <c r="BI106" s="67" t="str" cm="1">
        <f t="array" ref="BI106">IF(E106="","",LEFT(_xlfn.REGEXEXTRACT(UPPER(E106),"[A-Z][0-9][A-Z][ -]?[0-9][A-Z][0-9]"),3))</f>
        <v/>
      </c>
      <c r="BJ106" s="66" t="str">
        <f>IF(E106="","",_xlfn.XLOOKUP(BI106, CrestaP!B:B, CrestaP!D:D, ""))</f>
        <v/>
      </c>
      <c r="BK106" s="66" t="str">
        <f>IFERROR(
  INDEX(
    CrestaP!H4:M9,
    MATCH(J106, {"Frame","Brick Veneer","Joisted Masonry","Non-Combustible","Masonry Non-Combustible","Fire resistive"}, 0),
    MATCH(TEXT(BJ106,"@"), {"16","E5","E4","E3","E2","E1"}, 0)
  ),
  ""
)</f>
        <v/>
      </c>
    </row>
    <row r="107" spans="2:63" hidden="1" x14ac:dyDescent="0.25">
      <c r="B107"/>
      <c r="C107" s="24">
        <f t="shared" si="26"/>
        <v>100</v>
      </c>
      <c r="D107" s="25" t="s">
        <v>30</v>
      </c>
      <c r="E107" s="175"/>
      <c r="F107" s="89"/>
      <c r="G107" s="89"/>
      <c r="H107" s="104"/>
      <c r="I107" s="104"/>
      <c r="J107" s="89"/>
      <c r="K107" s="89"/>
      <c r="L107" s="89"/>
      <c r="M107" s="89"/>
      <c r="N107" s="89"/>
      <c r="O107" s="89"/>
      <c r="P107" s="104"/>
      <c r="Q107" s="104"/>
      <c r="R107" s="89"/>
      <c r="S107" s="89"/>
      <c r="T107" s="89"/>
      <c r="U107" s="25"/>
      <c r="V107" s="119"/>
      <c r="W107" s="19"/>
      <c r="X107" s="104"/>
      <c r="Y107" s="104"/>
      <c r="Z107" s="104"/>
      <c r="AA107" s="19"/>
      <c r="AB107" s="160" t="str">
        <f>IF(OR(AA107="",G107=""),"",VLOOKUP(G107,'Rating Factors'!$C:$E,3,FALSE)*AA107)</f>
        <v/>
      </c>
      <c r="AC107" s="20"/>
      <c r="AD107" s="20"/>
      <c r="AE107" s="104"/>
      <c r="AF107" s="96"/>
      <c r="AG107" s="20"/>
      <c r="AH107" s="119"/>
      <c r="AI107" s="19"/>
      <c r="AJ107" s="19"/>
      <c r="AK107" s="19"/>
      <c r="AL107" s="96"/>
      <c r="AM107" s="119"/>
      <c r="AN107" s="19"/>
      <c r="AO107" s="20"/>
      <c r="AP107" s="119"/>
      <c r="AQ107" s="115">
        <f t="shared" si="17"/>
        <v>0</v>
      </c>
      <c r="AR107" s="171">
        <f>IF(OR(Z107="",N(Z107)=0),
IF(
N(H107)+N(I107)=0,
0,
MAX(
IFERROR(VLOOKUP(AE107,'Rating Factors'!$BJ:$BK,2,FALSE),0),
((N(H107)*'Rating Factors'!$BF$2)+(N(I107)*'Rating Factors'!$BG$2))
*IFERROR(VLOOKUP(AE107,'Rating Factors'!$Z:$AA,2,FALSE),1)
*IFERROR(VLOOKUP(AJ107,'Rating Factors'!$AD:$AE,2,FALSE),1)
*IFERROR(VLOOKUP(SUM($H$8:$H$127),'Rating Factors'!$BM:$BN,2),1)
*IFERROR(VLOOKUP(SUM($I$8:$I$127),'Rating Factors'!$BH:$BI,2),1)
)
),
MAX(IFERROR(VLOOKUP(AE107,'Rating Factors'!$BJ:$BL,3,FALSE),0),
((N(I107)*'Rating Factors'!$BG$2))
*IFERROR(VLOOKUP(AE107,'Rating Factors'!$Z:$AA,2,FALSE),1)
*IFERROR(VLOOKUP(AJ107,'Rating Factors'!$AD:$AE,2,FALSE),1)
*N(AA107)* IFERROR(VLOOKUP(G107,'Rating Factors'!$C:$D,2,FALSE),1)*0.0045
))</f>
        <v>0</v>
      </c>
      <c r="AS107" s="172">
        <f t="shared" si="18"/>
        <v>0</v>
      </c>
      <c r="AT107" s="115">
        <f t="shared" si="19"/>
        <v>0</v>
      </c>
      <c r="AU107" s="173" t="str">
        <f t="shared" si="20"/>
        <v/>
      </c>
      <c r="AV107" s="174" t="str">
        <f t="shared" si="21"/>
        <v/>
      </c>
      <c r="AW107" s="119"/>
      <c r="AX107" s="141">
        <f>IF(
  OR(
    IFERROR(VLOOKUP(F107,'Rating Factors'!$A:$B,2,FALSE)="Decline",FALSE),
    IFERROR(VLOOKUP(G107,'Rating Factors'!$C:$D,2,FALSE)="Decline",FALSE),
    IFERROR(VLOOKUP(J107,'Rating Factors'!$F:$G,2,FALSE)="Decline",FALSE),
    IFERROR(VLOOKUP(K107,'Rating Factors'!$H:$I,2,FALSE)="Decline",FALSE),
    IFERROR(VLOOKUP(L107,'Rating Factors'!$J:$K,2,FALSE)="Decline",FALSE),
    IFERROR(VLOOKUP(M107,'Rating Factors'!$L:$M,2,FALSE)="Decline",FALSE),
    IFERROR(VLOOKUP(N107,'Rating Factors'!$N:$O,2,FALSE)="Decline",FALSE),
    IFERROR(VLOOKUP(O107,'Rating Factors'!$P:$Q,2,FALSE)="Decline",FALSE),
    IFERROR(VLOOKUP(P107,'Rating Factors'!$BO:$BP,2,FALSE)="Decline",FALSE),
    IFERROR(VLOOKUP(Q107,'Rating Factors'!$BQ:$BR,2,FALSE)="Decline",FALSE),
    IFERROR(VLOOKUP(R107,'Rating Factors'!$R:$S,2,FALSE)="Decline",FALSE),
    IFERROR(VLOOKUP(S107,'Rating Factors'!$T:$U,2,FALSE)="Decline",FALSE),
    IFERROR(VLOOKUP(T107,'Rating Factors'!$V:$W,2,FALSE)="Decline",FALSE),
    IFERROR(VLOOKUP(U107,'Rating Factors'!$X:$Y,2,FALSE)="Decline",FALSE),
    IFERROR(VLOOKUP(AI107,'Rating Factors'!$AB:$AC,2,FALSE)="Decline",FALSE),
    IFERROR(VLOOKUP(AK107,'Rating Factors'!$AK:$AL,2,FALSE)="Decline",FALSE),
    IFERROR(VLOOKUP(AL107,'Rating Factors'!$AP:$AQ,2,FALSE)="Decline",FALSE)
  ),
  "Declined",
  SUM(
    W107,
    X107,
    Y107*
      IFERROR(VLOOKUP(AD107,'Rating Factors'!$BS:$BT,2,FALSE),1),
    Z107*
      IFERROR(VLOOKUP(AD107,'Rating Factors'!$BS:$BT,2,FALSE),1)*
      IFERROR(VLOOKUP(AC107,'Rating Factors'!$BV:$BW,2,FALSE),1),
  )
  * IFERROR(VLOOKUP(F107,'Rating Factors'!$A:$B,2,FALSE),1)
  * IFERROR(VLOOKUP(G107,'Rating Factors'!$C:$D,2,FALSE),1)
  * IFERROR(VLOOKUP(J107,'Rating Factors'!$F:$G,2,FALSE),1)
  * IFERROR(VLOOKUP(K107,'Rating Factors'!$H:$I,2,FALSE),1)
  * IFERROR(VLOOKUP(L107,'Rating Factors'!$J:$K,2,FALSE),1)
  * IFERROR(VLOOKUP(M107,'Rating Factors'!$L:$M,2,FALSE),1)
  * IFERROR(VLOOKUP(N107,'Rating Factors'!$N:$O,2,FALSE),1)
  * IFERROR(VLOOKUP(O107,'Rating Factors'!$P:$Q,2,FALSE),1)
  * IFERROR(VLOOKUP(P107,'Rating Factors'!$BO:$BP,2,FALSE),1)
  * IFERROR(VLOOKUP(Q107,'Rating Factors'!$BQ:$BR,2,FALSE),1)
  * IFERROR(VLOOKUP(R107,'Rating Factors'!$R:$S,2,FALSE),1)
  * IFERROR(VLOOKUP(S107,'Rating Factors'!$T:$U,2,FALSE),1)
  * IFERROR(VLOOKUP(T107,'Rating Factors'!$V:$W,2,FALSE),1)
  * IFERROR(VLOOKUP(U107,'Rating Factors'!$X:$Y,2,FALSE),1)
  * IFERROR(VLOOKUP(AI107,'Rating Factors'!$AB:$AC,2,FALSE),1)
  * IFERROR(VLOOKUP(AK107,'Rating Factors'!$AK:$AL,2,FALSE),1)
  * IFERROR(VLOOKUP(AL107,'Rating Factors'!$AP:$AQ,2,FALSE),1)
  * IFERROR(LOOKUP(SUM($W$8:$Z$127),'Rating Factors'!$BD:$BD,'Rating Factors'!$BE:$BE),1))</f>
        <v>0</v>
      </c>
      <c r="AY107" s="158">
        <f>IF(OR(AQ107="Declined", AN107&lt;&gt;"Y"),
   0,
   N(AT107)*N('Rating Factors'!$AG$2)/100
)</f>
        <v>0</v>
      </c>
      <c r="AZ107" s="158">
        <f t="shared" si="29"/>
        <v>0</v>
      </c>
      <c r="BA107" s="142">
        <f>_xlfn.LET(
  _xlpm.base_ok, AND(AQ107&lt;&gt;"Declined", N(AQ107)&gt;0),
  _xlpm.is_full, EXACT(AG107, "Full Limit"),
  _xlpm.total_tiv, SUM($AT$8:$AT$127),
  _xlpm.loc_tiv, N(BE107),
  _xlpm.full_rate, N('Rating Factors'!$AO$10),
  _xlpm.min_per_loc, N('Rating Factors'!$AN$10),
  _xlpm.n_locs, N(E104),
  _xlpm.sched_prem, MAX(_xlpm.total_tiv*_xlpm.full_rate, _xlpm.min_per_loc*_xlpm.n_locs),
  _xlpm.alloc_prem, IF(_xlpm.total_tiv=0, 0, _xlpm.sched_prem * _xlpm.loc_tiv / _xlpm.total_tiv),
  _xlpm.cap_prem, IFERROR(VLOOKUP(AG107, 'Rating Factors'!$AM:$AN, 2, FALSE), 0),
  IF(_xlpm.base_ok,
     IF(_xlpm.is_full, _xlpm.alloc_prem, _xlpm.cap_prem),
     0
  )
)</f>
        <v>0</v>
      </c>
      <c r="BB107" s="143">
        <f t="shared" si="27"/>
        <v>0</v>
      </c>
      <c r="BC107" s="144">
        <f t="shared" si="23"/>
        <v>0</v>
      </c>
      <c r="BD107" s="145">
        <f t="shared" si="24"/>
        <v>0</v>
      </c>
      <c r="BE107" s="115">
        <f t="shared" si="28"/>
        <v>0</v>
      </c>
      <c r="BF107" s="106" t="str">
        <f t="shared" si="25"/>
        <v/>
      </c>
      <c r="BG107"/>
      <c r="BI107" s="67" t="str" cm="1">
        <f t="array" ref="BI107">IF(E107="","",LEFT(_xlfn.REGEXEXTRACT(UPPER(E107),"[A-Z][0-9][A-Z][ -]?[0-9][A-Z][0-9]"),3))</f>
        <v/>
      </c>
      <c r="BJ107" s="66" t="str">
        <f>IF(E107="","",_xlfn.XLOOKUP(BI107, CrestaP!B:B, CrestaP!D:D, ""))</f>
        <v/>
      </c>
      <c r="BK107" s="66" t="str">
        <f>IFERROR(
  INDEX(
    CrestaP!H4:M9,
    MATCH(J107, {"Frame","Brick Veneer","Joisted Masonry","Non-Combustible","Masonry Non-Combustible","Fire resistive"}, 0),
    MATCH(TEXT(BJ107,"@"), {"16","E5","E4","E3","E2","E1"}, 0)
  ),
  ""
)</f>
        <v/>
      </c>
    </row>
    <row r="108" spans="2:63" hidden="1" x14ac:dyDescent="0.25">
      <c r="B108"/>
      <c r="C108" s="24">
        <f t="shared" si="26"/>
        <v>101</v>
      </c>
      <c r="D108" s="25" t="s">
        <v>30</v>
      </c>
      <c r="E108" s="175"/>
      <c r="F108" s="89"/>
      <c r="G108" s="89"/>
      <c r="H108" s="104"/>
      <c r="I108" s="104"/>
      <c r="J108" s="89"/>
      <c r="K108" s="89"/>
      <c r="L108" s="89"/>
      <c r="M108" s="89"/>
      <c r="N108" s="89"/>
      <c r="O108" s="89"/>
      <c r="P108" s="104"/>
      <c r="Q108" s="104"/>
      <c r="R108" s="89"/>
      <c r="S108" s="89"/>
      <c r="T108" s="89"/>
      <c r="U108" s="25"/>
      <c r="V108" s="119"/>
      <c r="W108" s="19"/>
      <c r="X108" s="104"/>
      <c r="Y108" s="104"/>
      <c r="Z108" s="104"/>
      <c r="AA108" s="19"/>
      <c r="AB108" s="160" t="str">
        <f>IF(OR(AA108="",G108=""),"",VLOOKUP(G108,'Rating Factors'!$C:$E,3,FALSE)*AA108)</f>
        <v/>
      </c>
      <c r="AC108" s="20"/>
      <c r="AD108" s="20"/>
      <c r="AE108" s="104"/>
      <c r="AF108" s="96"/>
      <c r="AG108" s="20"/>
      <c r="AH108" s="119"/>
      <c r="AI108" s="19"/>
      <c r="AJ108" s="19"/>
      <c r="AK108" s="19"/>
      <c r="AL108" s="96"/>
      <c r="AM108" s="119"/>
      <c r="AN108" s="19"/>
      <c r="AO108" s="20"/>
      <c r="AP108" s="119"/>
      <c r="AQ108" s="115">
        <f t="shared" si="17"/>
        <v>0</v>
      </c>
      <c r="AR108" s="171">
        <f>IF(OR(Z108="",N(Z108)=0),
IF(
N(H108)+N(I108)=0,
0,
MAX(
IFERROR(VLOOKUP(AE108,'Rating Factors'!$BJ:$BK,2,FALSE),0),
((N(H108)*'Rating Factors'!$BF$2)+(N(I108)*'Rating Factors'!$BG$2))
*IFERROR(VLOOKUP(AE108,'Rating Factors'!$Z:$AA,2,FALSE),1)
*IFERROR(VLOOKUP(AJ108,'Rating Factors'!$AD:$AE,2,FALSE),1)
*IFERROR(VLOOKUP(SUM($H$8:$H$127),'Rating Factors'!$BM:$BN,2),1)
*IFERROR(VLOOKUP(SUM($I$8:$I$127),'Rating Factors'!$BH:$BI,2),1)
)
),
MAX(IFERROR(VLOOKUP(AE108,'Rating Factors'!$BJ:$BL,3,FALSE),0),
((N(I108)*'Rating Factors'!$BG$2))
*IFERROR(VLOOKUP(AE108,'Rating Factors'!$Z:$AA,2,FALSE),1)
*IFERROR(VLOOKUP(AJ108,'Rating Factors'!$AD:$AE,2,FALSE),1)
*N(AA108)* IFERROR(VLOOKUP(G108,'Rating Factors'!$C:$D,2,FALSE),1)*0.0045
))</f>
        <v>0</v>
      </c>
      <c r="AS108" s="172">
        <f t="shared" si="18"/>
        <v>0</v>
      </c>
      <c r="AT108" s="115">
        <f t="shared" si="19"/>
        <v>0</v>
      </c>
      <c r="AU108" s="173" t="str">
        <f t="shared" si="20"/>
        <v/>
      </c>
      <c r="AV108" s="174" t="str">
        <f t="shared" si="21"/>
        <v/>
      </c>
      <c r="AW108" s="119"/>
      <c r="AX108" s="141">
        <f>IF(
  OR(
    IFERROR(VLOOKUP(F108,'Rating Factors'!$A:$B,2,FALSE)="Decline",FALSE),
    IFERROR(VLOOKUP(G108,'Rating Factors'!$C:$D,2,FALSE)="Decline",FALSE),
    IFERROR(VLOOKUP(J108,'Rating Factors'!$F:$G,2,FALSE)="Decline",FALSE),
    IFERROR(VLOOKUP(K108,'Rating Factors'!$H:$I,2,FALSE)="Decline",FALSE),
    IFERROR(VLOOKUP(L108,'Rating Factors'!$J:$K,2,FALSE)="Decline",FALSE),
    IFERROR(VLOOKUP(M108,'Rating Factors'!$L:$M,2,FALSE)="Decline",FALSE),
    IFERROR(VLOOKUP(N108,'Rating Factors'!$N:$O,2,FALSE)="Decline",FALSE),
    IFERROR(VLOOKUP(O108,'Rating Factors'!$P:$Q,2,FALSE)="Decline",FALSE),
    IFERROR(VLOOKUP(P108,'Rating Factors'!$BO:$BP,2,FALSE)="Decline",FALSE),
    IFERROR(VLOOKUP(Q108,'Rating Factors'!$BQ:$BR,2,FALSE)="Decline",FALSE),
    IFERROR(VLOOKUP(R108,'Rating Factors'!$R:$S,2,FALSE)="Decline",FALSE),
    IFERROR(VLOOKUP(S108,'Rating Factors'!$T:$U,2,FALSE)="Decline",FALSE),
    IFERROR(VLOOKUP(T108,'Rating Factors'!$V:$W,2,FALSE)="Decline",FALSE),
    IFERROR(VLOOKUP(U108,'Rating Factors'!$X:$Y,2,FALSE)="Decline",FALSE),
    IFERROR(VLOOKUP(AI108,'Rating Factors'!$AB:$AC,2,FALSE)="Decline",FALSE),
    IFERROR(VLOOKUP(AK108,'Rating Factors'!$AK:$AL,2,FALSE)="Decline",FALSE),
    IFERROR(VLOOKUP(AL108,'Rating Factors'!$AP:$AQ,2,FALSE)="Decline",FALSE)
  ),
  "Declined",
  SUM(
    W108,
    X108,
    Y108*
      IFERROR(VLOOKUP(AD108,'Rating Factors'!$BS:$BT,2,FALSE),1),
    Z108*
      IFERROR(VLOOKUP(AD108,'Rating Factors'!$BS:$BT,2,FALSE),1)*
      IFERROR(VLOOKUP(AC108,'Rating Factors'!$BV:$BW,2,FALSE),1),
  )
  * IFERROR(VLOOKUP(F108,'Rating Factors'!$A:$B,2,FALSE),1)
  * IFERROR(VLOOKUP(G108,'Rating Factors'!$C:$D,2,FALSE),1)
  * IFERROR(VLOOKUP(J108,'Rating Factors'!$F:$G,2,FALSE),1)
  * IFERROR(VLOOKUP(K108,'Rating Factors'!$H:$I,2,FALSE),1)
  * IFERROR(VLOOKUP(L108,'Rating Factors'!$J:$K,2,FALSE),1)
  * IFERROR(VLOOKUP(M108,'Rating Factors'!$L:$M,2,FALSE),1)
  * IFERROR(VLOOKUP(N108,'Rating Factors'!$N:$O,2,FALSE),1)
  * IFERROR(VLOOKUP(O108,'Rating Factors'!$P:$Q,2,FALSE),1)
  * IFERROR(VLOOKUP(P108,'Rating Factors'!$BO:$BP,2,FALSE),1)
  * IFERROR(VLOOKUP(Q108,'Rating Factors'!$BQ:$BR,2,FALSE),1)
  * IFERROR(VLOOKUP(R108,'Rating Factors'!$R:$S,2,FALSE),1)
  * IFERROR(VLOOKUP(S108,'Rating Factors'!$T:$U,2,FALSE),1)
  * IFERROR(VLOOKUP(T108,'Rating Factors'!$V:$W,2,FALSE),1)
  * IFERROR(VLOOKUP(U108,'Rating Factors'!$X:$Y,2,FALSE),1)
  * IFERROR(VLOOKUP(AI108,'Rating Factors'!$AB:$AC,2,FALSE),1)
  * IFERROR(VLOOKUP(AK108,'Rating Factors'!$AK:$AL,2,FALSE),1)
  * IFERROR(VLOOKUP(AL108,'Rating Factors'!$AP:$AQ,2,FALSE),1)
  * IFERROR(LOOKUP(SUM($W$8:$Z$127),'Rating Factors'!$BD:$BD,'Rating Factors'!$BE:$BE),1))</f>
        <v>0</v>
      </c>
      <c r="AY108" s="158">
        <f>IF(OR(AQ108="Declined", AN108&lt;&gt;"Y"),
   0,
   N(AT108)*N('Rating Factors'!$AG$2)/100
)</f>
        <v>0</v>
      </c>
      <c r="AZ108" s="158">
        <f t="shared" si="29"/>
        <v>0</v>
      </c>
      <c r="BA108" s="142">
        <f>_xlfn.LET(
  _xlpm.base_ok, AND(AQ108&lt;&gt;"Declined", N(AQ108)&gt;0),
  _xlpm.is_full, EXACT(AG108, "Full Limit"),
  _xlpm.total_tiv, SUM($AT$8:$AT$127),
  _xlpm.loc_tiv, N(BE108),
  _xlpm.full_rate, N('Rating Factors'!$AO$10),
  _xlpm.min_per_loc, N('Rating Factors'!$AN$10),
  _xlpm.n_locs, N(E105),
  _xlpm.sched_prem, MAX(_xlpm.total_tiv*_xlpm.full_rate, _xlpm.min_per_loc*_xlpm.n_locs),
  _xlpm.alloc_prem, IF(_xlpm.total_tiv=0, 0, _xlpm.sched_prem * _xlpm.loc_tiv / _xlpm.total_tiv),
  _xlpm.cap_prem, IFERROR(VLOOKUP(AG108, 'Rating Factors'!$AM:$AN, 2, FALSE), 0),
  IF(_xlpm.base_ok,
     IF(_xlpm.is_full, _xlpm.alloc_prem, _xlpm.cap_prem),
     0
  )
)</f>
        <v>0</v>
      </c>
      <c r="BB108" s="143">
        <f t="shared" si="27"/>
        <v>0</v>
      </c>
      <c r="BC108" s="144">
        <f t="shared" si="23"/>
        <v>0</v>
      </c>
      <c r="BD108" s="145">
        <f t="shared" si="24"/>
        <v>0</v>
      </c>
      <c r="BE108" s="115">
        <f t="shared" si="28"/>
        <v>0</v>
      </c>
      <c r="BF108" s="106" t="str">
        <f t="shared" si="25"/>
        <v/>
      </c>
      <c r="BG108"/>
      <c r="BI108" s="67" t="str" cm="1">
        <f t="array" ref="BI108">IF(E108="","",LEFT(_xlfn.REGEXEXTRACT(UPPER(E108),"[A-Z][0-9][A-Z][ -]?[0-9][A-Z][0-9]"),3))</f>
        <v/>
      </c>
      <c r="BJ108" s="66" t="str">
        <f>IF(E108="","",_xlfn.XLOOKUP(BI108, CrestaP!B:B, CrestaP!D:D, ""))</f>
        <v/>
      </c>
      <c r="BK108" s="66" t="str">
        <f>IFERROR(
  INDEX(
    CrestaP!H4:M9,
    MATCH(J108, {"Frame","Brick Veneer","Joisted Masonry","Non-Combustible","Masonry Non-Combustible","Fire resistive"}, 0),
    MATCH(TEXT(BJ108,"@"), {"16","E5","E4","E3","E2","E1"}, 0)
  ),
  ""
)</f>
        <v/>
      </c>
    </row>
    <row r="109" spans="2:63" hidden="1" x14ac:dyDescent="0.25">
      <c r="B109"/>
      <c r="C109" s="24">
        <f t="shared" si="26"/>
        <v>102</v>
      </c>
      <c r="D109" s="25" t="s">
        <v>30</v>
      </c>
      <c r="E109" s="175"/>
      <c r="F109" s="89"/>
      <c r="G109" s="89"/>
      <c r="H109" s="104"/>
      <c r="I109" s="104"/>
      <c r="J109" s="89"/>
      <c r="K109" s="89"/>
      <c r="L109" s="89"/>
      <c r="M109" s="89"/>
      <c r="N109" s="89"/>
      <c r="O109" s="89"/>
      <c r="P109" s="104"/>
      <c r="Q109" s="104"/>
      <c r="R109" s="89"/>
      <c r="S109" s="89"/>
      <c r="T109" s="89"/>
      <c r="U109" s="25"/>
      <c r="V109" s="119"/>
      <c r="W109" s="19"/>
      <c r="X109" s="104"/>
      <c r="Y109" s="104"/>
      <c r="Z109" s="104"/>
      <c r="AA109" s="19"/>
      <c r="AB109" s="160" t="str">
        <f>IF(OR(AA109="",G109=""),"",VLOOKUP(G109,'Rating Factors'!$C:$E,3,FALSE)*AA109)</f>
        <v/>
      </c>
      <c r="AC109" s="20"/>
      <c r="AD109" s="20"/>
      <c r="AE109" s="104"/>
      <c r="AF109" s="96"/>
      <c r="AG109" s="20"/>
      <c r="AH109" s="119"/>
      <c r="AI109" s="19"/>
      <c r="AJ109" s="19"/>
      <c r="AK109" s="19"/>
      <c r="AL109" s="96"/>
      <c r="AM109" s="119"/>
      <c r="AN109" s="19"/>
      <c r="AO109" s="20"/>
      <c r="AP109" s="119"/>
      <c r="AQ109" s="115">
        <f t="shared" si="17"/>
        <v>0</v>
      </c>
      <c r="AR109" s="171">
        <f>IF(OR(Z109="",N(Z109)=0),
IF(
N(H109)+N(I109)=0,
0,
MAX(
IFERROR(VLOOKUP(AE109,'Rating Factors'!$BJ:$BK,2,FALSE),0),
((N(H109)*'Rating Factors'!$BF$2)+(N(I109)*'Rating Factors'!$BG$2))
*IFERROR(VLOOKUP(AE109,'Rating Factors'!$Z:$AA,2,FALSE),1)
*IFERROR(VLOOKUP(AJ109,'Rating Factors'!$AD:$AE,2,FALSE),1)
*IFERROR(VLOOKUP(SUM($H$8:$H$127),'Rating Factors'!$BM:$BN,2),1)
*IFERROR(VLOOKUP(SUM($I$8:$I$127),'Rating Factors'!$BH:$BI,2),1)
)
),
MAX(IFERROR(VLOOKUP(AE109,'Rating Factors'!$BJ:$BL,3,FALSE),0),
((N(I109)*'Rating Factors'!$BG$2))
*IFERROR(VLOOKUP(AE109,'Rating Factors'!$Z:$AA,2,FALSE),1)
*IFERROR(VLOOKUP(AJ109,'Rating Factors'!$AD:$AE,2,FALSE),1)
*N(AA109)* IFERROR(VLOOKUP(G109,'Rating Factors'!$C:$D,2,FALSE),1)*0.0045
))</f>
        <v>0</v>
      </c>
      <c r="AS109" s="172">
        <f t="shared" si="18"/>
        <v>0</v>
      </c>
      <c r="AT109" s="115">
        <f t="shared" si="19"/>
        <v>0</v>
      </c>
      <c r="AU109" s="173" t="str">
        <f t="shared" si="20"/>
        <v/>
      </c>
      <c r="AV109" s="174" t="str">
        <f t="shared" si="21"/>
        <v/>
      </c>
      <c r="AW109" s="119"/>
      <c r="AX109" s="141">
        <f>IF(
  OR(
    IFERROR(VLOOKUP(F109,'Rating Factors'!$A:$B,2,FALSE)="Decline",FALSE),
    IFERROR(VLOOKUP(G109,'Rating Factors'!$C:$D,2,FALSE)="Decline",FALSE),
    IFERROR(VLOOKUP(J109,'Rating Factors'!$F:$G,2,FALSE)="Decline",FALSE),
    IFERROR(VLOOKUP(K109,'Rating Factors'!$H:$I,2,FALSE)="Decline",FALSE),
    IFERROR(VLOOKUP(L109,'Rating Factors'!$J:$K,2,FALSE)="Decline",FALSE),
    IFERROR(VLOOKUP(M109,'Rating Factors'!$L:$M,2,FALSE)="Decline",FALSE),
    IFERROR(VLOOKUP(N109,'Rating Factors'!$N:$O,2,FALSE)="Decline",FALSE),
    IFERROR(VLOOKUP(O109,'Rating Factors'!$P:$Q,2,FALSE)="Decline",FALSE),
    IFERROR(VLOOKUP(P109,'Rating Factors'!$BO:$BP,2,FALSE)="Decline",FALSE),
    IFERROR(VLOOKUP(Q109,'Rating Factors'!$BQ:$BR,2,FALSE)="Decline",FALSE),
    IFERROR(VLOOKUP(R109,'Rating Factors'!$R:$S,2,FALSE)="Decline",FALSE),
    IFERROR(VLOOKUP(S109,'Rating Factors'!$T:$U,2,FALSE)="Decline",FALSE),
    IFERROR(VLOOKUP(T109,'Rating Factors'!$V:$W,2,FALSE)="Decline",FALSE),
    IFERROR(VLOOKUP(U109,'Rating Factors'!$X:$Y,2,FALSE)="Decline",FALSE),
    IFERROR(VLOOKUP(AI109,'Rating Factors'!$AB:$AC,2,FALSE)="Decline",FALSE),
    IFERROR(VLOOKUP(AK109,'Rating Factors'!$AK:$AL,2,FALSE)="Decline",FALSE),
    IFERROR(VLOOKUP(AL109,'Rating Factors'!$AP:$AQ,2,FALSE)="Decline",FALSE)
  ),
  "Declined",
  SUM(
    W109,
    X109,
    Y109*
      IFERROR(VLOOKUP(AD109,'Rating Factors'!$BS:$BT,2,FALSE),1),
    Z109*
      IFERROR(VLOOKUP(AD109,'Rating Factors'!$BS:$BT,2,FALSE),1)*
      IFERROR(VLOOKUP(AC109,'Rating Factors'!$BV:$BW,2,FALSE),1),
  )
  * IFERROR(VLOOKUP(F109,'Rating Factors'!$A:$B,2,FALSE),1)
  * IFERROR(VLOOKUP(G109,'Rating Factors'!$C:$D,2,FALSE),1)
  * IFERROR(VLOOKUP(J109,'Rating Factors'!$F:$G,2,FALSE),1)
  * IFERROR(VLOOKUP(K109,'Rating Factors'!$H:$I,2,FALSE),1)
  * IFERROR(VLOOKUP(L109,'Rating Factors'!$J:$K,2,FALSE),1)
  * IFERROR(VLOOKUP(M109,'Rating Factors'!$L:$M,2,FALSE),1)
  * IFERROR(VLOOKUP(N109,'Rating Factors'!$N:$O,2,FALSE),1)
  * IFERROR(VLOOKUP(O109,'Rating Factors'!$P:$Q,2,FALSE),1)
  * IFERROR(VLOOKUP(P109,'Rating Factors'!$BO:$BP,2,FALSE),1)
  * IFERROR(VLOOKUP(Q109,'Rating Factors'!$BQ:$BR,2,FALSE),1)
  * IFERROR(VLOOKUP(R109,'Rating Factors'!$R:$S,2,FALSE),1)
  * IFERROR(VLOOKUP(S109,'Rating Factors'!$T:$U,2,FALSE),1)
  * IFERROR(VLOOKUP(T109,'Rating Factors'!$V:$W,2,FALSE),1)
  * IFERROR(VLOOKUP(U109,'Rating Factors'!$X:$Y,2,FALSE),1)
  * IFERROR(VLOOKUP(AI109,'Rating Factors'!$AB:$AC,2,FALSE),1)
  * IFERROR(VLOOKUP(AK109,'Rating Factors'!$AK:$AL,2,FALSE),1)
  * IFERROR(VLOOKUP(AL109,'Rating Factors'!$AP:$AQ,2,FALSE),1)
  * IFERROR(LOOKUP(SUM($W$8:$Z$127),'Rating Factors'!$BD:$BD,'Rating Factors'!$BE:$BE),1))</f>
        <v>0</v>
      </c>
      <c r="AY109" s="158">
        <f>IF(OR(AQ109="Declined", AN109&lt;&gt;"Y"),
   0,
   N(AT109)*N('Rating Factors'!$AG$2)/100
)</f>
        <v>0</v>
      </c>
      <c r="AZ109" s="158">
        <f t="shared" si="29"/>
        <v>0</v>
      </c>
      <c r="BA109" s="142">
        <f>_xlfn.LET(
  _xlpm.base_ok, AND(AQ109&lt;&gt;"Declined", N(AQ109)&gt;0),
  _xlpm.is_full, EXACT(AG109, "Full Limit"),
  _xlpm.total_tiv, SUM($AT$8:$AT$127),
  _xlpm.loc_tiv, N(BE109),
  _xlpm.full_rate, N('Rating Factors'!$AO$10),
  _xlpm.min_per_loc, N('Rating Factors'!$AN$10),
  _xlpm.n_locs, N(E106),
  _xlpm.sched_prem, MAX(_xlpm.total_tiv*_xlpm.full_rate, _xlpm.min_per_loc*_xlpm.n_locs),
  _xlpm.alloc_prem, IF(_xlpm.total_tiv=0, 0, _xlpm.sched_prem * _xlpm.loc_tiv / _xlpm.total_tiv),
  _xlpm.cap_prem, IFERROR(VLOOKUP(AG109, 'Rating Factors'!$AM:$AN, 2, FALSE), 0),
  IF(_xlpm.base_ok,
     IF(_xlpm.is_full, _xlpm.alloc_prem, _xlpm.cap_prem),
     0
  )
)</f>
        <v>0</v>
      </c>
      <c r="BB109" s="143">
        <f t="shared" si="27"/>
        <v>0</v>
      </c>
      <c r="BC109" s="144">
        <f t="shared" si="23"/>
        <v>0</v>
      </c>
      <c r="BD109" s="145">
        <f t="shared" si="24"/>
        <v>0</v>
      </c>
      <c r="BE109" s="115">
        <f t="shared" si="28"/>
        <v>0</v>
      </c>
      <c r="BF109" s="106" t="str">
        <f t="shared" si="25"/>
        <v/>
      </c>
      <c r="BG109"/>
      <c r="BI109" s="67" t="str" cm="1">
        <f t="array" ref="BI109">IF(E109="","",LEFT(_xlfn.REGEXEXTRACT(UPPER(E109),"[A-Z][0-9][A-Z][ -]?[0-9][A-Z][0-9]"),3))</f>
        <v/>
      </c>
      <c r="BJ109" s="66" t="str">
        <f>IF(E109="","",_xlfn.XLOOKUP(BI109, CrestaP!B:B, CrestaP!D:D, ""))</f>
        <v/>
      </c>
      <c r="BK109" s="66" t="str">
        <f>IFERROR(
  INDEX(
    CrestaP!H4:M9,
    MATCH(J109, {"Frame","Brick Veneer","Joisted Masonry","Non-Combustible","Masonry Non-Combustible","Fire resistive"}, 0),
    MATCH(TEXT(BJ109,"@"), {"16","E5","E4","E3","E2","E1"}, 0)
  ),
  ""
)</f>
        <v/>
      </c>
    </row>
    <row r="110" spans="2:63" hidden="1" x14ac:dyDescent="0.25">
      <c r="B110"/>
      <c r="C110" s="24">
        <f t="shared" si="26"/>
        <v>103</v>
      </c>
      <c r="D110" s="25" t="s">
        <v>30</v>
      </c>
      <c r="E110" s="175"/>
      <c r="F110" s="89"/>
      <c r="G110" s="89"/>
      <c r="H110" s="104"/>
      <c r="I110" s="104"/>
      <c r="J110" s="89"/>
      <c r="K110" s="89"/>
      <c r="L110" s="89"/>
      <c r="M110" s="89"/>
      <c r="N110" s="89"/>
      <c r="O110" s="89"/>
      <c r="P110" s="104"/>
      <c r="Q110" s="104"/>
      <c r="R110" s="89"/>
      <c r="S110" s="89"/>
      <c r="T110" s="89"/>
      <c r="U110" s="25"/>
      <c r="V110" s="119"/>
      <c r="W110" s="19"/>
      <c r="X110" s="104"/>
      <c r="Y110" s="104"/>
      <c r="Z110" s="104"/>
      <c r="AA110" s="19"/>
      <c r="AB110" s="160" t="str">
        <f>IF(OR(AA110="",G110=""),"",VLOOKUP(G110,'Rating Factors'!$C:$E,3,FALSE)*AA110)</f>
        <v/>
      </c>
      <c r="AC110" s="20"/>
      <c r="AD110" s="20"/>
      <c r="AE110" s="104"/>
      <c r="AF110" s="96"/>
      <c r="AG110" s="20"/>
      <c r="AH110" s="119"/>
      <c r="AI110" s="19"/>
      <c r="AJ110" s="19"/>
      <c r="AK110" s="19"/>
      <c r="AL110" s="96"/>
      <c r="AM110" s="119"/>
      <c r="AN110" s="19"/>
      <c r="AO110" s="20"/>
      <c r="AP110" s="119"/>
      <c r="AQ110" s="115">
        <f t="shared" si="17"/>
        <v>0</v>
      </c>
      <c r="AR110" s="171">
        <f>IF(OR(Z110="",N(Z110)=0),
IF(
N(H110)+N(I110)=0,
0,
MAX(
IFERROR(VLOOKUP(AE110,'Rating Factors'!$BJ:$BK,2,FALSE),0),
((N(H110)*'Rating Factors'!$BF$2)+(N(I110)*'Rating Factors'!$BG$2))
*IFERROR(VLOOKUP(AE110,'Rating Factors'!$Z:$AA,2,FALSE),1)
*IFERROR(VLOOKUP(AJ110,'Rating Factors'!$AD:$AE,2,FALSE),1)
*IFERROR(VLOOKUP(SUM($H$8:$H$127),'Rating Factors'!$BM:$BN,2),1)
*IFERROR(VLOOKUP(SUM($I$8:$I$127),'Rating Factors'!$BH:$BI,2),1)
)
),
MAX(IFERROR(VLOOKUP(AE110,'Rating Factors'!$BJ:$BL,3,FALSE),0),
((N(I110)*'Rating Factors'!$BG$2))
*IFERROR(VLOOKUP(AE110,'Rating Factors'!$Z:$AA,2,FALSE),1)
*IFERROR(VLOOKUP(AJ110,'Rating Factors'!$AD:$AE,2,FALSE),1)
*N(AA110)* IFERROR(VLOOKUP(G110,'Rating Factors'!$C:$D,2,FALSE),1)*0.0045
))</f>
        <v>0</v>
      </c>
      <c r="AS110" s="172">
        <f t="shared" si="18"/>
        <v>0</v>
      </c>
      <c r="AT110" s="115">
        <f t="shared" si="19"/>
        <v>0</v>
      </c>
      <c r="AU110" s="173" t="str">
        <f t="shared" si="20"/>
        <v/>
      </c>
      <c r="AV110" s="174" t="str">
        <f t="shared" si="21"/>
        <v/>
      </c>
      <c r="AW110" s="119"/>
      <c r="AX110" s="141">
        <f>IF(
  OR(
    IFERROR(VLOOKUP(F110,'Rating Factors'!$A:$B,2,FALSE)="Decline",FALSE),
    IFERROR(VLOOKUP(G110,'Rating Factors'!$C:$D,2,FALSE)="Decline",FALSE),
    IFERROR(VLOOKUP(J110,'Rating Factors'!$F:$G,2,FALSE)="Decline",FALSE),
    IFERROR(VLOOKUP(K110,'Rating Factors'!$H:$I,2,FALSE)="Decline",FALSE),
    IFERROR(VLOOKUP(L110,'Rating Factors'!$J:$K,2,FALSE)="Decline",FALSE),
    IFERROR(VLOOKUP(M110,'Rating Factors'!$L:$M,2,FALSE)="Decline",FALSE),
    IFERROR(VLOOKUP(N110,'Rating Factors'!$N:$O,2,FALSE)="Decline",FALSE),
    IFERROR(VLOOKUP(O110,'Rating Factors'!$P:$Q,2,FALSE)="Decline",FALSE),
    IFERROR(VLOOKUP(P110,'Rating Factors'!$BO:$BP,2,FALSE)="Decline",FALSE),
    IFERROR(VLOOKUP(Q110,'Rating Factors'!$BQ:$BR,2,FALSE)="Decline",FALSE),
    IFERROR(VLOOKUP(R110,'Rating Factors'!$R:$S,2,FALSE)="Decline",FALSE),
    IFERROR(VLOOKUP(S110,'Rating Factors'!$T:$U,2,FALSE)="Decline",FALSE),
    IFERROR(VLOOKUP(T110,'Rating Factors'!$V:$W,2,FALSE)="Decline",FALSE),
    IFERROR(VLOOKUP(U110,'Rating Factors'!$X:$Y,2,FALSE)="Decline",FALSE),
    IFERROR(VLOOKUP(AI110,'Rating Factors'!$AB:$AC,2,FALSE)="Decline",FALSE),
    IFERROR(VLOOKUP(AK110,'Rating Factors'!$AK:$AL,2,FALSE)="Decline",FALSE),
    IFERROR(VLOOKUP(AL110,'Rating Factors'!$AP:$AQ,2,FALSE)="Decline",FALSE)
  ),
  "Declined",
  SUM(
    W110,
    X110,
    Y110*
      IFERROR(VLOOKUP(AD110,'Rating Factors'!$BS:$BT,2,FALSE),1),
    Z110*
      IFERROR(VLOOKUP(AD110,'Rating Factors'!$BS:$BT,2,FALSE),1)*
      IFERROR(VLOOKUP(AC110,'Rating Factors'!$BV:$BW,2,FALSE),1),
  )
  * IFERROR(VLOOKUP(F110,'Rating Factors'!$A:$B,2,FALSE),1)
  * IFERROR(VLOOKUP(G110,'Rating Factors'!$C:$D,2,FALSE),1)
  * IFERROR(VLOOKUP(J110,'Rating Factors'!$F:$G,2,FALSE),1)
  * IFERROR(VLOOKUP(K110,'Rating Factors'!$H:$I,2,FALSE),1)
  * IFERROR(VLOOKUP(L110,'Rating Factors'!$J:$K,2,FALSE),1)
  * IFERROR(VLOOKUP(M110,'Rating Factors'!$L:$M,2,FALSE),1)
  * IFERROR(VLOOKUP(N110,'Rating Factors'!$N:$O,2,FALSE),1)
  * IFERROR(VLOOKUP(O110,'Rating Factors'!$P:$Q,2,FALSE),1)
  * IFERROR(VLOOKUP(P110,'Rating Factors'!$BO:$BP,2,FALSE),1)
  * IFERROR(VLOOKUP(Q110,'Rating Factors'!$BQ:$BR,2,FALSE),1)
  * IFERROR(VLOOKUP(R110,'Rating Factors'!$R:$S,2,FALSE),1)
  * IFERROR(VLOOKUP(S110,'Rating Factors'!$T:$U,2,FALSE),1)
  * IFERROR(VLOOKUP(T110,'Rating Factors'!$V:$W,2,FALSE),1)
  * IFERROR(VLOOKUP(U110,'Rating Factors'!$X:$Y,2,FALSE),1)
  * IFERROR(VLOOKUP(AI110,'Rating Factors'!$AB:$AC,2,FALSE),1)
  * IFERROR(VLOOKUP(AK110,'Rating Factors'!$AK:$AL,2,FALSE),1)
  * IFERROR(VLOOKUP(AL110,'Rating Factors'!$AP:$AQ,2,FALSE),1)
  * IFERROR(LOOKUP(SUM($W$8:$Z$127),'Rating Factors'!$BD:$BD,'Rating Factors'!$BE:$BE),1))</f>
        <v>0</v>
      </c>
      <c r="AY110" s="158">
        <f>IF(OR(AQ110="Declined", AN110&lt;&gt;"Y"),
   0,
   N(AT110)*N('Rating Factors'!$AG$2)/100
)</f>
        <v>0</v>
      </c>
      <c r="AZ110" s="158">
        <f t="shared" si="29"/>
        <v>0</v>
      </c>
      <c r="BA110" s="142">
        <f>_xlfn.LET(
  _xlpm.base_ok, AND(AQ110&lt;&gt;"Declined", N(AQ110)&gt;0),
  _xlpm.is_full, EXACT(AG110, "Full Limit"),
  _xlpm.total_tiv, SUM($AT$8:$AT$127),
  _xlpm.loc_tiv, N(BE110),
  _xlpm.full_rate, N('Rating Factors'!$AO$10),
  _xlpm.min_per_loc, N('Rating Factors'!$AN$10),
  _xlpm.n_locs, N(E107),
  _xlpm.sched_prem, MAX(_xlpm.total_tiv*_xlpm.full_rate, _xlpm.min_per_loc*_xlpm.n_locs),
  _xlpm.alloc_prem, IF(_xlpm.total_tiv=0, 0, _xlpm.sched_prem * _xlpm.loc_tiv / _xlpm.total_tiv),
  _xlpm.cap_prem, IFERROR(VLOOKUP(AG110, 'Rating Factors'!$AM:$AN, 2, FALSE), 0),
  IF(_xlpm.base_ok,
     IF(_xlpm.is_full, _xlpm.alloc_prem, _xlpm.cap_prem),
     0
  )
)</f>
        <v>0</v>
      </c>
      <c r="BB110" s="143">
        <f t="shared" si="27"/>
        <v>0</v>
      </c>
      <c r="BC110" s="144">
        <f t="shared" si="23"/>
        <v>0</v>
      </c>
      <c r="BD110" s="145">
        <f t="shared" si="24"/>
        <v>0</v>
      </c>
      <c r="BE110" s="115">
        <f t="shared" si="28"/>
        <v>0</v>
      </c>
      <c r="BF110" s="106" t="str">
        <f t="shared" si="25"/>
        <v/>
      </c>
      <c r="BG110"/>
      <c r="BI110" s="67" t="str" cm="1">
        <f t="array" ref="BI110">IF(E110="","",LEFT(_xlfn.REGEXEXTRACT(UPPER(E110),"[A-Z][0-9][A-Z][ -]?[0-9][A-Z][0-9]"),3))</f>
        <v/>
      </c>
      <c r="BJ110" s="66" t="str">
        <f>IF(E110="","",_xlfn.XLOOKUP(BI110, CrestaP!B:B, CrestaP!D:D, ""))</f>
        <v/>
      </c>
      <c r="BK110" s="66" t="str">
        <f>IFERROR(
  INDEX(
    CrestaP!H4:M9,
    MATCH(J110, {"Frame","Brick Veneer","Joisted Masonry","Non-Combustible","Masonry Non-Combustible","Fire resistive"}, 0),
    MATCH(TEXT(BJ110,"@"), {"16","E5","E4","E3","E2","E1"}, 0)
  ),
  ""
)</f>
        <v/>
      </c>
    </row>
    <row r="111" spans="2:63" hidden="1" x14ac:dyDescent="0.25">
      <c r="B111"/>
      <c r="C111" s="24">
        <f t="shared" si="26"/>
        <v>104</v>
      </c>
      <c r="D111" s="25" t="s">
        <v>30</v>
      </c>
      <c r="E111" s="175"/>
      <c r="F111" s="89"/>
      <c r="G111" s="89"/>
      <c r="H111" s="104"/>
      <c r="I111" s="104"/>
      <c r="J111" s="89"/>
      <c r="K111" s="89"/>
      <c r="L111" s="89"/>
      <c r="M111" s="89"/>
      <c r="N111" s="89"/>
      <c r="O111" s="89"/>
      <c r="P111" s="104"/>
      <c r="Q111" s="104"/>
      <c r="R111" s="89"/>
      <c r="S111" s="89"/>
      <c r="T111" s="89"/>
      <c r="U111" s="25"/>
      <c r="V111" s="119"/>
      <c r="W111" s="19"/>
      <c r="X111" s="104"/>
      <c r="Y111" s="104"/>
      <c r="Z111" s="104"/>
      <c r="AA111" s="19"/>
      <c r="AB111" s="160" t="str">
        <f>IF(OR(AA111="",G111=""),"",VLOOKUP(G111,'Rating Factors'!$C:$E,3,FALSE)*AA111)</f>
        <v/>
      </c>
      <c r="AC111" s="20"/>
      <c r="AD111" s="20"/>
      <c r="AE111" s="104"/>
      <c r="AF111" s="96"/>
      <c r="AG111" s="20"/>
      <c r="AH111" s="119"/>
      <c r="AI111" s="19"/>
      <c r="AJ111" s="19"/>
      <c r="AK111" s="19"/>
      <c r="AL111" s="96"/>
      <c r="AM111" s="119"/>
      <c r="AN111" s="19"/>
      <c r="AO111" s="20"/>
      <c r="AP111" s="119"/>
      <c r="AQ111" s="115">
        <f t="shared" si="17"/>
        <v>0</v>
      </c>
      <c r="AR111" s="171">
        <f>IF(OR(Z111="",N(Z111)=0),
IF(
N(H111)+N(I111)=0,
0,
MAX(
IFERROR(VLOOKUP(AE111,'Rating Factors'!$BJ:$BK,2,FALSE),0),
((N(H111)*'Rating Factors'!$BF$2)+(N(I111)*'Rating Factors'!$BG$2))
*IFERROR(VLOOKUP(AE111,'Rating Factors'!$Z:$AA,2,FALSE),1)
*IFERROR(VLOOKUP(AJ111,'Rating Factors'!$AD:$AE,2,FALSE),1)
*IFERROR(VLOOKUP(SUM($H$8:$H$127),'Rating Factors'!$BM:$BN,2),1)
*IFERROR(VLOOKUP(SUM($I$8:$I$127),'Rating Factors'!$BH:$BI,2),1)
)
),
MAX(IFERROR(VLOOKUP(AE111,'Rating Factors'!$BJ:$BL,3,FALSE),0),
((N(I111)*'Rating Factors'!$BG$2))
*IFERROR(VLOOKUP(AE111,'Rating Factors'!$Z:$AA,2,FALSE),1)
*IFERROR(VLOOKUP(AJ111,'Rating Factors'!$AD:$AE,2,FALSE),1)
*N(AA111)* IFERROR(VLOOKUP(G111,'Rating Factors'!$C:$D,2,FALSE),1)*0.0045
))</f>
        <v>0</v>
      </c>
      <c r="AS111" s="172">
        <f t="shared" si="18"/>
        <v>0</v>
      </c>
      <c r="AT111" s="115">
        <f t="shared" si="19"/>
        <v>0</v>
      </c>
      <c r="AU111" s="173" t="str">
        <f t="shared" si="20"/>
        <v/>
      </c>
      <c r="AV111" s="174" t="str">
        <f t="shared" si="21"/>
        <v/>
      </c>
      <c r="AW111" s="119"/>
      <c r="AX111" s="141">
        <f>IF(
  OR(
    IFERROR(VLOOKUP(F111,'Rating Factors'!$A:$B,2,FALSE)="Decline",FALSE),
    IFERROR(VLOOKUP(G111,'Rating Factors'!$C:$D,2,FALSE)="Decline",FALSE),
    IFERROR(VLOOKUP(J111,'Rating Factors'!$F:$G,2,FALSE)="Decline",FALSE),
    IFERROR(VLOOKUP(K111,'Rating Factors'!$H:$I,2,FALSE)="Decline",FALSE),
    IFERROR(VLOOKUP(L111,'Rating Factors'!$J:$K,2,FALSE)="Decline",FALSE),
    IFERROR(VLOOKUP(M111,'Rating Factors'!$L:$M,2,FALSE)="Decline",FALSE),
    IFERROR(VLOOKUP(N111,'Rating Factors'!$N:$O,2,FALSE)="Decline",FALSE),
    IFERROR(VLOOKUP(O111,'Rating Factors'!$P:$Q,2,FALSE)="Decline",FALSE),
    IFERROR(VLOOKUP(P111,'Rating Factors'!$BO:$BP,2,FALSE)="Decline",FALSE),
    IFERROR(VLOOKUP(Q111,'Rating Factors'!$BQ:$BR,2,FALSE)="Decline",FALSE),
    IFERROR(VLOOKUP(R111,'Rating Factors'!$R:$S,2,FALSE)="Decline",FALSE),
    IFERROR(VLOOKUP(S111,'Rating Factors'!$T:$U,2,FALSE)="Decline",FALSE),
    IFERROR(VLOOKUP(T111,'Rating Factors'!$V:$W,2,FALSE)="Decline",FALSE),
    IFERROR(VLOOKUP(U111,'Rating Factors'!$X:$Y,2,FALSE)="Decline",FALSE),
    IFERROR(VLOOKUP(AI111,'Rating Factors'!$AB:$AC,2,FALSE)="Decline",FALSE),
    IFERROR(VLOOKUP(AK111,'Rating Factors'!$AK:$AL,2,FALSE)="Decline",FALSE),
    IFERROR(VLOOKUP(AL111,'Rating Factors'!$AP:$AQ,2,FALSE)="Decline",FALSE)
  ),
  "Declined",
  SUM(
    W111,
    X111,
    Y111*
      IFERROR(VLOOKUP(AD111,'Rating Factors'!$BS:$BT,2,FALSE),1),
    Z111*
      IFERROR(VLOOKUP(AD111,'Rating Factors'!$BS:$BT,2,FALSE),1)*
      IFERROR(VLOOKUP(AC111,'Rating Factors'!$BV:$BW,2,FALSE),1),
  )
  * IFERROR(VLOOKUP(F111,'Rating Factors'!$A:$B,2,FALSE),1)
  * IFERROR(VLOOKUP(G111,'Rating Factors'!$C:$D,2,FALSE),1)
  * IFERROR(VLOOKUP(J111,'Rating Factors'!$F:$G,2,FALSE),1)
  * IFERROR(VLOOKUP(K111,'Rating Factors'!$H:$I,2,FALSE),1)
  * IFERROR(VLOOKUP(L111,'Rating Factors'!$J:$K,2,FALSE),1)
  * IFERROR(VLOOKUP(M111,'Rating Factors'!$L:$M,2,FALSE),1)
  * IFERROR(VLOOKUP(N111,'Rating Factors'!$N:$O,2,FALSE),1)
  * IFERROR(VLOOKUP(O111,'Rating Factors'!$P:$Q,2,FALSE),1)
  * IFERROR(VLOOKUP(P111,'Rating Factors'!$BO:$BP,2,FALSE),1)
  * IFERROR(VLOOKUP(Q111,'Rating Factors'!$BQ:$BR,2,FALSE),1)
  * IFERROR(VLOOKUP(R111,'Rating Factors'!$R:$S,2,FALSE),1)
  * IFERROR(VLOOKUP(S111,'Rating Factors'!$T:$U,2,FALSE),1)
  * IFERROR(VLOOKUP(T111,'Rating Factors'!$V:$W,2,FALSE),1)
  * IFERROR(VLOOKUP(U111,'Rating Factors'!$X:$Y,2,FALSE),1)
  * IFERROR(VLOOKUP(AI111,'Rating Factors'!$AB:$AC,2,FALSE),1)
  * IFERROR(VLOOKUP(AK111,'Rating Factors'!$AK:$AL,2,FALSE),1)
  * IFERROR(VLOOKUP(AL111,'Rating Factors'!$AP:$AQ,2,FALSE),1)
  * IFERROR(LOOKUP(SUM($W$8:$Z$127),'Rating Factors'!$BD:$BD,'Rating Factors'!$BE:$BE),1))</f>
        <v>0</v>
      </c>
      <c r="AY111" s="158">
        <f>IF(OR(AQ111="Declined", AN111&lt;&gt;"Y"),
   0,
   N(AT111)*N('Rating Factors'!$AG$2)/100
)</f>
        <v>0</v>
      </c>
      <c r="AZ111" s="158">
        <f t="shared" si="29"/>
        <v>0</v>
      </c>
      <c r="BA111" s="142">
        <f>_xlfn.LET(
  _xlpm.base_ok, AND(AQ111&lt;&gt;"Declined", N(AQ111)&gt;0),
  _xlpm.is_full, EXACT(AG111, "Full Limit"),
  _xlpm.total_tiv, SUM($AT$8:$AT$127),
  _xlpm.loc_tiv, N(BE111),
  _xlpm.full_rate, N('Rating Factors'!$AO$10),
  _xlpm.min_per_loc, N('Rating Factors'!$AN$10),
  _xlpm.n_locs, N(E108),
  _xlpm.sched_prem, MAX(_xlpm.total_tiv*_xlpm.full_rate, _xlpm.min_per_loc*_xlpm.n_locs),
  _xlpm.alloc_prem, IF(_xlpm.total_tiv=0, 0, _xlpm.sched_prem * _xlpm.loc_tiv / _xlpm.total_tiv),
  _xlpm.cap_prem, IFERROR(VLOOKUP(AG111, 'Rating Factors'!$AM:$AN, 2, FALSE), 0),
  IF(_xlpm.base_ok,
     IF(_xlpm.is_full, _xlpm.alloc_prem, _xlpm.cap_prem),
     0
  )
)</f>
        <v>0</v>
      </c>
      <c r="BB111" s="143">
        <f t="shared" si="27"/>
        <v>0</v>
      </c>
      <c r="BC111" s="144">
        <f t="shared" si="23"/>
        <v>0</v>
      </c>
      <c r="BD111" s="145">
        <f t="shared" si="24"/>
        <v>0</v>
      </c>
      <c r="BE111" s="115">
        <f t="shared" si="28"/>
        <v>0</v>
      </c>
      <c r="BF111" s="106" t="str">
        <f t="shared" si="25"/>
        <v/>
      </c>
      <c r="BG111"/>
      <c r="BI111" s="67" t="str" cm="1">
        <f t="array" ref="BI111">IF(E111="","",LEFT(_xlfn.REGEXEXTRACT(UPPER(E111),"[A-Z][0-9][A-Z][ -]?[0-9][A-Z][0-9]"),3))</f>
        <v/>
      </c>
      <c r="BJ111" s="66" t="str">
        <f>IF(E111="","",_xlfn.XLOOKUP(BI111, CrestaP!B:B, CrestaP!D:D, ""))</f>
        <v/>
      </c>
      <c r="BK111" s="66" t="str">
        <f>IFERROR(
  INDEX(
    CrestaP!H4:M9,
    MATCH(J111, {"Frame","Brick Veneer","Joisted Masonry","Non-Combustible","Masonry Non-Combustible","Fire resistive"}, 0),
    MATCH(TEXT(BJ111,"@"), {"16","E5","E4","E3","E2","E1"}, 0)
  ),
  ""
)</f>
        <v/>
      </c>
    </row>
    <row r="112" spans="2:63" hidden="1" x14ac:dyDescent="0.25">
      <c r="B112"/>
      <c r="C112" s="24">
        <f t="shared" si="26"/>
        <v>105</v>
      </c>
      <c r="D112" s="25" t="s">
        <v>30</v>
      </c>
      <c r="E112" s="175"/>
      <c r="F112" s="89"/>
      <c r="G112" s="89"/>
      <c r="H112" s="104"/>
      <c r="I112" s="104"/>
      <c r="J112" s="89"/>
      <c r="K112" s="89"/>
      <c r="L112" s="89"/>
      <c r="M112" s="89"/>
      <c r="N112" s="89"/>
      <c r="O112" s="89"/>
      <c r="P112" s="104"/>
      <c r="Q112" s="104"/>
      <c r="R112" s="89"/>
      <c r="S112" s="89"/>
      <c r="T112" s="89"/>
      <c r="U112" s="25"/>
      <c r="V112" s="119"/>
      <c r="W112" s="19"/>
      <c r="X112" s="104"/>
      <c r="Y112" s="104"/>
      <c r="Z112" s="104"/>
      <c r="AA112" s="19"/>
      <c r="AB112" s="160" t="str">
        <f>IF(OR(AA112="",G112=""),"",VLOOKUP(G112,'Rating Factors'!$C:$E,3,FALSE)*AA112)</f>
        <v/>
      </c>
      <c r="AC112" s="20"/>
      <c r="AD112" s="20"/>
      <c r="AE112" s="104"/>
      <c r="AF112" s="96"/>
      <c r="AG112" s="20"/>
      <c r="AH112" s="119"/>
      <c r="AI112" s="19"/>
      <c r="AJ112" s="19"/>
      <c r="AK112" s="19"/>
      <c r="AL112" s="96"/>
      <c r="AM112" s="119"/>
      <c r="AN112" s="19"/>
      <c r="AO112" s="20"/>
      <c r="AP112" s="119"/>
      <c r="AQ112" s="115">
        <f t="shared" si="17"/>
        <v>0</v>
      </c>
      <c r="AR112" s="171">
        <f>IF(OR(Z112="",N(Z112)=0),
IF(
N(H112)+N(I112)=0,
0,
MAX(
IFERROR(VLOOKUP(AE112,'Rating Factors'!$BJ:$BK,2,FALSE),0),
((N(H112)*'Rating Factors'!$BF$2)+(N(I112)*'Rating Factors'!$BG$2))
*IFERROR(VLOOKUP(AE112,'Rating Factors'!$Z:$AA,2,FALSE),1)
*IFERROR(VLOOKUP(AJ112,'Rating Factors'!$AD:$AE,2,FALSE),1)
*IFERROR(VLOOKUP(SUM($H$8:$H$127),'Rating Factors'!$BM:$BN,2),1)
*IFERROR(VLOOKUP(SUM($I$8:$I$127),'Rating Factors'!$BH:$BI,2),1)
)
),
MAX(IFERROR(VLOOKUP(AE112,'Rating Factors'!$BJ:$BL,3,FALSE),0),
((N(I112)*'Rating Factors'!$BG$2))
*IFERROR(VLOOKUP(AE112,'Rating Factors'!$Z:$AA,2,FALSE),1)
*IFERROR(VLOOKUP(AJ112,'Rating Factors'!$AD:$AE,2,FALSE),1)
*N(AA112)* IFERROR(VLOOKUP(G112,'Rating Factors'!$C:$D,2,FALSE),1)*0.0045
))</f>
        <v>0</v>
      </c>
      <c r="AS112" s="172">
        <f t="shared" si="18"/>
        <v>0</v>
      </c>
      <c r="AT112" s="115">
        <f t="shared" si="19"/>
        <v>0</v>
      </c>
      <c r="AU112" s="173" t="str">
        <f t="shared" si="20"/>
        <v/>
      </c>
      <c r="AV112" s="174" t="str">
        <f t="shared" si="21"/>
        <v/>
      </c>
      <c r="AW112" s="119"/>
      <c r="AX112" s="141">
        <f>IF(
  OR(
    IFERROR(VLOOKUP(F112,'Rating Factors'!$A:$B,2,FALSE)="Decline",FALSE),
    IFERROR(VLOOKUP(G112,'Rating Factors'!$C:$D,2,FALSE)="Decline",FALSE),
    IFERROR(VLOOKUP(J112,'Rating Factors'!$F:$G,2,FALSE)="Decline",FALSE),
    IFERROR(VLOOKUP(K112,'Rating Factors'!$H:$I,2,FALSE)="Decline",FALSE),
    IFERROR(VLOOKUP(L112,'Rating Factors'!$J:$K,2,FALSE)="Decline",FALSE),
    IFERROR(VLOOKUP(M112,'Rating Factors'!$L:$M,2,FALSE)="Decline",FALSE),
    IFERROR(VLOOKUP(N112,'Rating Factors'!$N:$O,2,FALSE)="Decline",FALSE),
    IFERROR(VLOOKUP(O112,'Rating Factors'!$P:$Q,2,FALSE)="Decline",FALSE),
    IFERROR(VLOOKUP(P112,'Rating Factors'!$BO:$BP,2,FALSE)="Decline",FALSE),
    IFERROR(VLOOKUP(Q112,'Rating Factors'!$BQ:$BR,2,FALSE)="Decline",FALSE),
    IFERROR(VLOOKUP(R112,'Rating Factors'!$R:$S,2,FALSE)="Decline",FALSE),
    IFERROR(VLOOKUP(S112,'Rating Factors'!$T:$U,2,FALSE)="Decline",FALSE),
    IFERROR(VLOOKUP(T112,'Rating Factors'!$V:$W,2,FALSE)="Decline",FALSE),
    IFERROR(VLOOKUP(U112,'Rating Factors'!$X:$Y,2,FALSE)="Decline",FALSE),
    IFERROR(VLOOKUP(AI112,'Rating Factors'!$AB:$AC,2,FALSE)="Decline",FALSE),
    IFERROR(VLOOKUP(AK112,'Rating Factors'!$AK:$AL,2,FALSE)="Decline",FALSE),
    IFERROR(VLOOKUP(AL112,'Rating Factors'!$AP:$AQ,2,FALSE)="Decline",FALSE)
  ),
  "Declined",
  SUM(
    W112,
    X112,
    Y112*
      IFERROR(VLOOKUP(AD112,'Rating Factors'!$BS:$BT,2,FALSE),1),
    Z112*
      IFERROR(VLOOKUP(AD112,'Rating Factors'!$BS:$BT,2,FALSE),1)*
      IFERROR(VLOOKUP(AC112,'Rating Factors'!$BV:$BW,2,FALSE),1),
  )
  * IFERROR(VLOOKUP(F112,'Rating Factors'!$A:$B,2,FALSE),1)
  * IFERROR(VLOOKUP(G112,'Rating Factors'!$C:$D,2,FALSE),1)
  * IFERROR(VLOOKUP(J112,'Rating Factors'!$F:$G,2,FALSE),1)
  * IFERROR(VLOOKUP(K112,'Rating Factors'!$H:$I,2,FALSE),1)
  * IFERROR(VLOOKUP(L112,'Rating Factors'!$J:$K,2,FALSE),1)
  * IFERROR(VLOOKUP(M112,'Rating Factors'!$L:$M,2,FALSE),1)
  * IFERROR(VLOOKUP(N112,'Rating Factors'!$N:$O,2,FALSE),1)
  * IFERROR(VLOOKUP(O112,'Rating Factors'!$P:$Q,2,FALSE),1)
  * IFERROR(VLOOKUP(P112,'Rating Factors'!$BO:$BP,2,FALSE),1)
  * IFERROR(VLOOKUP(Q112,'Rating Factors'!$BQ:$BR,2,FALSE),1)
  * IFERROR(VLOOKUP(R112,'Rating Factors'!$R:$S,2,FALSE),1)
  * IFERROR(VLOOKUP(S112,'Rating Factors'!$T:$U,2,FALSE),1)
  * IFERROR(VLOOKUP(T112,'Rating Factors'!$V:$W,2,FALSE),1)
  * IFERROR(VLOOKUP(U112,'Rating Factors'!$X:$Y,2,FALSE),1)
  * IFERROR(VLOOKUP(AI112,'Rating Factors'!$AB:$AC,2,FALSE),1)
  * IFERROR(VLOOKUP(AK112,'Rating Factors'!$AK:$AL,2,FALSE),1)
  * IFERROR(VLOOKUP(AL112,'Rating Factors'!$AP:$AQ,2,FALSE),1)
  * IFERROR(LOOKUP(SUM($W$8:$Z$127),'Rating Factors'!$BD:$BD,'Rating Factors'!$BE:$BE),1))</f>
        <v>0</v>
      </c>
      <c r="AY112" s="158">
        <f>IF(OR(AQ112="Declined", AN112&lt;&gt;"Y"),
   0,
   N(AT112)*N('Rating Factors'!$AG$2)/100
)</f>
        <v>0</v>
      </c>
      <c r="AZ112" s="158">
        <f t="shared" si="29"/>
        <v>0</v>
      </c>
      <c r="BA112" s="142">
        <f>_xlfn.LET(
  _xlpm.base_ok, AND(AQ112&lt;&gt;"Declined", N(AQ112)&gt;0),
  _xlpm.is_full, EXACT(AG112, "Full Limit"),
  _xlpm.total_tiv, SUM($AT$8:$AT$127),
  _xlpm.loc_tiv, N(BE112),
  _xlpm.full_rate, N('Rating Factors'!$AO$10),
  _xlpm.min_per_loc, N('Rating Factors'!$AN$10),
  _xlpm.n_locs, N(E109),
  _xlpm.sched_prem, MAX(_xlpm.total_tiv*_xlpm.full_rate, _xlpm.min_per_loc*_xlpm.n_locs),
  _xlpm.alloc_prem, IF(_xlpm.total_tiv=0, 0, _xlpm.sched_prem * _xlpm.loc_tiv / _xlpm.total_tiv),
  _xlpm.cap_prem, IFERROR(VLOOKUP(AG112, 'Rating Factors'!$AM:$AN, 2, FALSE), 0),
  IF(_xlpm.base_ok,
     IF(_xlpm.is_full, _xlpm.alloc_prem, _xlpm.cap_prem),
     0
  )
)</f>
        <v>0</v>
      </c>
      <c r="BB112" s="143">
        <f t="shared" si="27"/>
        <v>0</v>
      </c>
      <c r="BC112" s="144">
        <f t="shared" si="23"/>
        <v>0</v>
      </c>
      <c r="BD112" s="145">
        <f t="shared" si="24"/>
        <v>0</v>
      </c>
      <c r="BE112" s="115">
        <f t="shared" si="28"/>
        <v>0</v>
      </c>
      <c r="BF112" s="106" t="str">
        <f t="shared" si="25"/>
        <v/>
      </c>
      <c r="BG112"/>
      <c r="BI112" s="67" t="str" cm="1">
        <f t="array" ref="BI112">IF(E112="","",LEFT(_xlfn.REGEXEXTRACT(UPPER(E112),"[A-Z][0-9][A-Z][ -]?[0-9][A-Z][0-9]"),3))</f>
        <v/>
      </c>
      <c r="BJ112" s="66" t="str">
        <f>IF(E112="","",_xlfn.XLOOKUP(BI112, CrestaP!B:B, CrestaP!D:D, ""))</f>
        <v/>
      </c>
      <c r="BK112" s="66" t="str">
        <f>IFERROR(
  INDEX(
    CrestaP!H4:M9,
    MATCH(J112, {"Frame","Brick Veneer","Joisted Masonry","Non-Combustible","Masonry Non-Combustible","Fire resistive"}, 0),
    MATCH(TEXT(BJ112,"@"), {"16","E5","E4","E3","E2","E1"}, 0)
  ),
  ""
)</f>
        <v/>
      </c>
    </row>
    <row r="113" spans="2:63" hidden="1" x14ac:dyDescent="0.25">
      <c r="B113"/>
      <c r="C113" s="24">
        <f t="shared" si="26"/>
        <v>106</v>
      </c>
      <c r="D113" s="25" t="s">
        <v>30</v>
      </c>
      <c r="E113" s="175"/>
      <c r="F113" s="89"/>
      <c r="G113" s="89"/>
      <c r="H113" s="104"/>
      <c r="I113" s="104"/>
      <c r="J113" s="89"/>
      <c r="K113" s="89"/>
      <c r="L113" s="89"/>
      <c r="M113" s="89"/>
      <c r="N113" s="89"/>
      <c r="O113" s="89"/>
      <c r="P113" s="104"/>
      <c r="Q113" s="104"/>
      <c r="R113" s="89"/>
      <c r="S113" s="89"/>
      <c r="T113" s="89"/>
      <c r="U113" s="25"/>
      <c r="V113" s="119"/>
      <c r="W113" s="19"/>
      <c r="X113" s="104"/>
      <c r="Y113" s="104"/>
      <c r="Z113" s="104"/>
      <c r="AA113" s="19"/>
      <c r="AB113" s="160" t="str">
        <f>IF(OR(AA113="",G113=""),"",VLOOKUP(G113,'Rating Factors'!$C:$E,3,FALSE)*AA113)</f>
        <v/>
      </c>
      <c r="AC113" s="20"/>
      <c r="AD113" s="20"/>
      <c r="AE113" s="104"/>
      <c r="AF113" s="96"/>
      <c r="AG113" s="20"/>
      <c r="AH113" s="119"/>
      <c r="AI113" s="19"/>
      <c r="AJ113" s="19"/>
      <c r="AK113" s="19"/>
      <c r="AL113" s="96"/>
      <c r="AM113" s="119"/>
      <c r="AN113" s="19"/>
      <c r="AO113" s="20"/>
      <c r="AP113" s="119"/>
      <c r="AQ113" s="115">
        <f t="shared" si="17"/>
        <v>0</v>
      </c>
      <c r="AR113" s="171">
        <f>IF(OR(Z113="",N(Z113)=0),
IF(
N(H113)+N(I113)=0,
0,
MAX(
IFERROR(VLOOKUP(AE113,'Rating Factors'!$BJ:$BK,2,FALSE),0),
((N(H113)*'Rating Factors'!$BF$2)+(N(I113)*'Rating Factors'!$BG$2))
*IFERROR(VLOOKUP(AE113,'Rating Factors'!$Z:$AA,2,FALSE),1)
*IFERROR(VLOOKUP(AJ113,'Rating Factors'!$AD:$AE,2,FALSE),1)
*IFERROR(VLOOKUP(SUM($H$8:$H$127),'Rating Factors'!$BM:$BN,2),1)
*IFERROR(VLOOKUP(SUM($I$8:$I$127),'Rating Factors'!$BH:$BI,2),1)
)
),
MAX(IFERROR(VLOOKUP(AE113,'Rating Factors'!$BJ:$BL,3,FALSE),0),
((N(I113)*'Rating Factors'!$BG$2))
*IFERROR(VLOOKUP(AE113,'Rating Factors'!$Z:$AA,2,FALSE),1)
*IFERROR(VLOOKUP(AJ113,'Rating Factors'!$AD:$AE,2,FALSE),1)
*N(AA113)* IFERROR(VLOOKUP(G113,'Rating Factors'!$C:$D,2,FALSE),1)*0.0045
))</f>
        <v>0</v>
      </c>
      <c r="AS113" s="172">
        <f t="shared" si="18"/>
        <v>0</v>
      </c>
      <c r="AT113" s="115">
        <f t="shared" si="19"/>
        <v>0</v>
      </c>
      <c r="AU113" s="173" t="str">
        <f t="shared" si="20"/>
        <v/>
      </c>
      <c r="AV113" s="174" t="str">
        <f t="shared" si="21"/>
        <v/>
      </c>
      <c r="AW113" s="119"/>
      <c r="AX113" s="141">
        <f>IF(
  OR(
    IFERROR(VLOOKUP(F113,'Rating Factors'!$A:$B,2,FALSE)="Decline",FALSE),
    IFERROR(VLOOKUP(G113,'Rating Factors'!$C:$D,2,FALSE)="Decline",FALSE),
    IFERROR(VLOOKUP(J113,'Rating Factors'!$F:$G,2,FALSE)="Decline",FALSE),
    IFERROR(VLOOKUP(K113,'Rating Factors'!$H:$I,2,FALSE)="Decline",FALSE),
    IFERROR(VLOOKUP(L113,'Rating Factors'!$J:$K,2,FALSE)="Decline",FALSE),
    IFERROR(VLOOKUP(M113,'Rating Factors'!$L:$M,2,FALSE)="Decline",FALSE),
    IFERROR(VLOOKUP(N113,'Rating Factors'!$N:$O,2,FALSE)="Decline",FALSE),
    IFERROR(VLOOKUP(O113,'Rating Factors'!$P:$Q,2,FALSE)="Decline",FALSE),
    IFERROR(VLOOKUP(P113,'Rating Factors'!$BO:$BP,2,FALSE)="Decline",FALSE),
    IFERROR(VLOOKUP(Q113,'Rating Factors'!$BQ:$BR,2,FALSE)="Decline",FALSE),
    IFERROR(VLOOKUP(R113,'Rating Factors'!$R:$S,2,FALSE)="Decline",FALSE),
    IFERROR(VLOOKUP(S113,'Rating Factors'!$T:$U,2,FALSE)="Decline",FALSE),
    IFERROR(VLOOKUP(T113,'Rating Factors'!$V:$W,2,FALSE)="Decline",FALSE),
    IFERROR(VLOOKUP(U113,'Rating Factors'!$X:$Y,2,FALSE)="Decline",FALSE),
    IFERROR(VLOOKUP(AI113,'Rating Factors'!$AB:$AC,2,FALSE)="Decline",FALSE),
    IFERROR(VLOOKUP(AK113,'Rating Factors'!$AK:$AL,2,FALSE)="Decline",FALSE),
    IFERROR(VLOOKUP(AL113,'Rating Factors'!$AP:$AQ,2,FALSE)="Decline",FALSE)
  ),
  "Declined",
  SUM(
    W113,
    X113,
    Y113*
      IFERROR(VLOOKUP(AD113,'Rating Factors'!$BS:$BT,2,FALSE),1),
    Z113*
      IFERROR(VLOOKUP(AD113,'Rating Factors'!$BS:$BT,2,FALSE),1)*
      IFERROR(VLOOKUP(AC113,'Rating Factors'!$BV:$BW,2,FALSE),1),
  )
  * IFERROR(VLOOKUP(F113,'Rating Factors'!$A:$B,2,FALSE),1)
  * IFERROR(VLOOKUP(G113,'Rating Factors'!$C:$D,2,FALSE),1)
  * IFERROR(VLOOKUP(J113,'Rating Factors'!$F:$G,2,FALSE),1)
  * IFERROR(VLOOKUP(K113,'Rating Factors'!$H:$I,2,FALSE),1)
  * IFERROR(VLOOKUP(L113,'Rating Factors'!$J:$K,2,FALSE),1)
  * IFERROR(VLOOKUP(M113,'Rating Factors'!$L:$M,2,FALSE),1)
  * IFERROR(VLOOKUP(N113,'Rating Factors'!$N:$O,2,FALSE),1)
  * IFERROR(VLOOKUP(O113,'Rating Factors'!$P:$Q,2,FALSE),1)
  * IFERROR(VLOOKUP(P113,'Rating Factors'!$BO:$BP,2,FALSE),1)
  * IFERROR(VLOOKUP(Q113,'Rating Factors'!$BQ:$BR,2,FALSE),1)
  * IFERROR(VLOOKUP(R113,'Rating Factors'!$R:$S,2,FALSE),1)
  * IFERROR(VLOOKUP(S113,'Rating Factors'!$T:$U,2,FALSE),1)
  * IFERROR(VLOOKUP(T113,'Rating Factors'!$V:$W,2,FALSE),1)
  * IFERROR(VLOOKUP(U113,'Rating Factors'!$X:$Y,2,FALSE),1)
  * IFERROR(VLOOKUP(AI113,'Rating Factors'!$AB:$AC,2,FALSE),1)
  * IFERROR(VLOOKUP(AK113,'Rating Factors'!$AK:$AL,2,FALSE),1)
  * IFERROR(VLOOKUP(AL113,'Rating Factors'!$AP:$AQ,2,FALSE),1)
  * IFERROR(LOOKUP(SUM($W$8:$Z$127),'Rating Factors'!$BD:$BD,'Rating Factors'!$BE:$BE),1))</f>
        <v>0</v>
      </c>
      <c r="AY113" s="158">
        <f>IF(OR(AQ113="Declined", AN113&lt;&gt;"Y"),
   0,
   N(AT113)*N('Rating Factors'!$AG$2)/100
)</f>
        <v>0</v>
      </c>
      <c r="AZ113" s="158">
        <f t="shared" si="29"/>
        <v>0</v>
      </c>
      <c r="BA113" s="142">
        <f>_xlfn.LET(
  _xlpm.base_ok, AND(AQ113&lt;&gt;"Declined", N(AQ113)&gt;0),
  _xlpm.is_full, EXACT(AG113, "Full Limit"),
  _xlpm.total_tiv, SUM($AT$8:$AT$127),
  _xlpm.loc_tiv, N(BE113),
  _xlpm.full_rate, N('Rating Factors'!$AO$10),
  _xlpm.min_per_loc, N('Rating Factors'!$AN$10),
  _xlpm.n_locs, N(E110),
  _xlpm.sched_prem, MAX(_xlpm.total_tiv*_xlpm.full_rate, _xlpm.min_per_loc*_xlpm.n_locs),
  _xlpm.alloc_prem, IF(_xlpm.total_tiv=0, 0, _xlpm.sched_prem * _xlpm.loc_tiv / _xlpm.total_tiv),
  _xlpm.cap_prem, IFERROR(VLOOKUP(AG113, 'Rating Factors'!$AM:$AN, 2, FALSE), 0),
  IF(_xlpm.base_ok,
     IF(_xlpm.is_full, _xlpm.alloc_prem, _xlpm.cap_prem),
     0
  )
)</f>
        <v>0</v>
      </c>
      <c r="BB113" s="143">
        <f t="shared" si="27"/>
        <v>0</v>
      </c>
      <c r="BC113" s="144">
        <f t="shared" si="23"/>
        <v>0</v>
      </c>
      <c r="BD113" s="145">
        <f t="shared" si="24"/>
        <v>0</v>
      </c>
      <c r="BE113" s="115">
        <f t="shared" si="28"/>
        <v>0</v>
      </c>
      <c r="BF113" s="106" t="str">
        <f t="shared" si="25"/>
        <v/>
      </c>
      <c r="BG113"/>
      <c r="BI113" s="67" t="str" cm="1">
        <f t="array" ref="BI113">IF(E113="","",LEFT(_xlfn.REGEXEXTRACT(UPPER(E113),"[A-Z][0-9][A-Z][ -]?[0-9][A-Z][0-9]"),3))</f>
        <v/>
      </c>
      <c r="BJ113" s="66" t="str">
        <f>IF(E113="","",_xlfn.XLOOKUP(BI113, CrestaP!B:B, CrestaP!D:D, ""))</f>
        <v/>
      </c>
      <c r="BK113" s="66" t="str">
        <f>IFERROR(
  INDEX(
    CrestaP!H4:M9,
    MATCH(J113, {"Frame","Brick Veneer","Joisted Masonry","Non-Combustible","Masonry Non-Combustible","Fire resistive"}, 0),
    MATCH(TEXT(BJ113,"@"), {"16","E5","E4","E3","E2","E1"}, 0)
  ),
  ""
)</f>
        <v/>
      </c>
    </row>
    <row r="114" spans="2:63" hidden="1" x14ac:dyDescent="0.25">
      <c r="B114"/>
      <c r="C114" s="24">
        <f t="shared" si="26"/>
        <v>107</v>
      </c>
      <c r="D114" s="25" t="s">
        <v>30</v>
      </c>
      <c r="E114" s="175"/>
      <c r="F114" s="89"/>
      <c r="G114" s="89"/>
      <c r="H114" s="104"/>
      <c r="I114" s="104"/>
      <c r="J114" s="89"/>
      <c r="K114" s="89"/>
      <c r="L114" s="89"/>
      <c r="M114" s="89"/>
      <c r="N114" s="89"/>
      <c r="O114" s="89"/>
      <c r="P114" s="104"/>
      <c r="Q114" s="104"/>
      <c r="R114" s="89"/>
      <c r="S114" s="89"/>
      <c r="T114" s="89"/>
      <c r="U114" s="25"/>
      <c r="V114" s="119"/>
      <c r="W114" s="19"/>
      <c r="X114" s="104"/>
      <c r="Y114" s="104"/>
      <c r="Z114" s="104"/>
      <c r="AA114" s="19"/>
      <c r="AB114" s="160" t="str">
        <f>IF(OR(AA114="",G114=""),"",VLOOKUP(G114,'Rating Factors'!$C:$E,3,FALSE)*AA114)</f>
        <v/>
      </c>
      <c r="AC114" s="20"/>
      <c r="AD114" s="20"/>
      <c r="AE114" s="104"/>
      <c r="AF114" s="96"/>
      <c r="AG114" s="20"/>
      <c r="AH114" s="119"/>
      <c r="AI114" s="19"/>
      <c r="AJ114" s="19"/>
      <c r="AK114" s="19"/>
      <c r="AL114" s="96"/>
      <c r="AM114" s="119"/>
      <c r="AN114" s="19"/>
      <c r="AO114" s="20"/>
      <c r="AP114" s="119"/>
      <c r="AQ114" s="115">
        <f t="shared" si="17"/>
        <v>0</v>
      </c>
      <c r="AR114" s="171">
        <f>IF(OR(Z114="",N(Z114)=0),
IF(
N(H114)+N(I114)=0,
0,
MAX(
IFERROR(VLOOKUP(AE114,'Rating Factors'!$BJ:$BK,2,FALSE),0),
((N(H114)*'Rating Factors'!$BF$2)+(N(I114)*'Rating Factors'!$BG$2))
*IFERROR(VLOOKUP(AE114,'Rating Factors'!$Z:$AA,2,FALSE),1)
*IFERROR(VLOOKUP(AJ114,'Rating Factors'!$AD:$AE,2,FALSE),1)
*IFERROR(VLOOKUP(SUM($H$8:$H$127),'Rating Factors'!$BM:$BN,2),1)
*IFERROR(VLOOKUP(SUM($I$8:$I$127),'Rating Factors'!$BH:$BI,2),1)
)
),
MAX(IFERROR(VLOOKUP(AE114,'Rating Factors'!$BJ:$BL,3,FALSE),0),
((N(I114)*'Rating Factors'!$BG$2))
*IFERROR(VLOOKUP(AE114,'Rating Factors'!$Z:$AA,2,FALSE),1)
*IFERROR(VLOOKUP(AJ114,'Rating Factors'!$AD:$AE,2,FALSE),1)
*N(AA114)* IFERROR(VLOOKUP(G114,'Rating Factors'!$C:$D,2,FALSE),1)*0.0045
))</f>
        <v>0</v>
      </c>
      <c r="AS114" s="172">
        <f t="shared" si="18"/>
        <v>0</v>
      </c>
      <c r="AT114" s="115">
        <f t="shared" si="19"/>
        <v>0</v>
      </c>
      <c r="AU114" s="173" t="str">
        <f t="shared" si="20"/>
        <v/>
      </c>
      <c r="AV114" s="174" t="str">
        <f t="shared" si="21"/>
        <v/>
      </c>
      <c r="AW114" s="119"/>
      <c r="AX114" s="141">
        <f>IF(
  OR(
    IFERROR(VLOOKUP(F114,'Rating Factors'!$A:$B,2,FALSE)="Decline",FALSE),
    IFERROR(VLOOKUP(G114,'Rating Factors'!$C:$D,2,FALSE)="Decline",FALSE),
    IFERROR(VLOOKUP(J114,'Rating Factors'!$F:$G,2,FALSE)="Decline",FALSE),
    IFERROR(VLOOKUP(K114,'Rating Factors'!$H:$I,2,FALSE)="Decline",FALSE),
    IFERROR(VLOOKUP(L114,'Rating Factors'!$J:$K,2,FALSE)="Decline",FALSE),
    IFERROR(VLOOKUP(M114,'Rating Factors'!$L:$M,2,FALSE)="Decline",FALSE),
    IFERROR(VLOOKUP(N114,'Rating Factors'!$N:$O,2,FALSE)="Decline",FALSE),
    IFERROR(VLOOKUP(O114,'Rating Factors'!$P:$Q,2,FALSE)="Decline",FALSE),
    IFERROR(VLOOKUP(P114,'Rating Factors'!$BO:$BP,2,FALSE)="Decline",FALSE),
    IFERROR(VLOOKUP(Q114,'Rating Factors'!$BQ:$BR,2,FALSE)="Decline",FALSE),
    IFERROR(VLOOKUP(R114,'Rating Factors'!$R:$S,2,FALSE)="Decline",FALSE),
    IFERROR(VLOOKUP(S114,'Rating Factors'!$T:$U,2,FALSE)="Decline",FALSE),
    IFERROR(VLOOKUP(T114,'Rating Factors'!$V:$W,2,FALSE)="Decline",FALSE),
    IFERROR(VLOOKUP(U114,'Rating Factors'!$X:$Y,2,FALSE)="Decline",FALSE),
    IFERROR(VLOOKUP(AI114,'Rating Factors'!$AB:$AC,2,FALSE)="Decline",FALSE),
    IFERROR(VLOOKUP(AK114,'Rating Factors'!$AK:$AL,2,FALSE)="Decline",FALSE),
    IFERROR(VLOOKUP(AL114,'Rating Factors'!$AP:$AQ,2,FALSE)="Decline",FALSE)
  ),
  "Declined",
  SUM(
    W114,
    X114,
    Y114*
      IFERROR(VLOOKUP(AD114,'Rating Factors'!$BS:$BT,2,FALSE),1),
    Z114*
      IFERROR(VLOOKUP(AD114,'Rating Factors'!$BS:$BT,2,FALSE),1)*
      IFERROR(VLOOKUP(AC114,'Rating Factors'!$BV:$BW,2,FALSE),1),
  )
  * IFERROR(VLOOKUP(F114,'Rating Factors'!$A:$B,2,FALSE),1)
  * IFERROR(VLOOKUP(G114,'Rating Factors'!$C:$D,2,FALSE),1)
  * IFERROR(VLOOKUP(J114,'Rating Factors'!$F:$G,2,FALSE),1)
  * IFERROR(VLOOKUP(K114,'Rating Factors'!$H:$I,2,FALSE),1)
  * IFERROR(VLOOKUP(L114,'Rating Factors'!$J:$K,2,FALSE),1)
  * IFERROR(VLOOKUP(M114,'Rating Factors'!$L:$M,2,FALSE),1)
  * IFERROR(VLOOKUP(N114,'Rating Factors'!$N:$O,2,FALSE),1)
  * IFERROR(VLOOKUP(O114,'Rating Factors'!$P:$Q,2,FALSE),1)
  * IFERROR(VLOOKUP(P114,'Rating Factors'!$BO:$BP,2,FALSE),1)
  * IFERROR(VLOOKUP(Q114,'Rating Factors'!$BQ:$BR,2,FALSE),1)
  * IFERROR(VLOOKUP(R114,'Rating Factors'!$R:$S,2,FALSE),1)
  * IFERROR(VLOOKUP(S114,'Rating Factors'!$T:$U,2,FALSE),1)
  * IFERROR(VLOOKUP(T114,'Rating Factors'!$V:$W,2,FALSE),1)
  * IFERROR(VLOOKUP(U114,'Rating Factors'!$X:$Y,2,FALSE),1)
  * IFERROR(VLOOKUP(AI114,'Rating Factors'!$AB:$AC,2,FALSE),1)
  * IFERROR(VLOOKUP(AK114,'Rating Factors'!$AK:$AL,2,FALSE),1)
  * IFERROR(VLOOKUP(AL114,'Rating Factors'!$AP:$AQ,2,FALSE),1)
  * IFERROR(LOOKUP(SUM($W$8:$Z$127),'Rating Factors'!$BD:$BD,'Rating Factors'!$BE:$BE),1))</f>
        <v>0</v>
      </c>
      <c r="AY114" s="158">
        <f>IF(OR(AQ114="Declined", AN114&lt;&gt;"Y"),
   0,
   N(AT114)*N('Rating Factors'!$AG$2)/100
)</f>
        <v>0</v>
      </c>
      <c r="AZ114" s="158">
        <f t="shared" si="29"/>
        <v>0</v>
      </c>
      <c r="BA114" s="142">
        <f>_xlfn.LET(
  _xlpm.base_ok, AND(AQ114&lt;&gt;"Declined", N(AQ114)&gt;0),
  _xlpm.is_full, EXACT(AG114, "Full Limit"),
  _xlpm.total_tiv, SUM($AT$8:$AT$127),
  _xlpm.loc_tiv, N(BE114),
  _xlpm.full_rate, N('Rating Factors'!$AO$10),
  _xlpm.min_per_loc, N('Rating Factors'!$AN$10),
  _xlpm.n_locs, N(E111),
  _xlpm.sched_prem, MAX(_xlpm.total_tiv*_xlpm.full_rate, _xlpm.min_per_loc*_xlpm.n_locs),
  _xlpm.alloc_prem, IF(_xlpm.total_tiv=0, 0, _xlpm.sched_prem * _xlpm.loc_tiv / _xlpm.total_tiv),
  _xlpm.cap_prem, IFERROR(VLOOKUP(AG114, 'Rating Factors'!$AM:$AN, 2, FALSE), 0),
  IF(_xlpm.base_ok,
     IF(_xlpm.is_full, _xlpm.alloc_prem, _xlpm.cap_prem),
     0
  )
)</f>
        <v>0</v>
      </c>
      <c r="BB114" s="143">
        <f t="shared" si="27"/>
        <v>0</v>
      </c>
      <c r="BC114" s="144">
        <f t="shared" si="23"/>
        <v>0</v>
      </c>
      <c r="BD114" s="145">
        <f t="shared" si="24"/>
        <v>0</v>
      </c>
      <c r="BE114" s="115">
        <f t="shared" si="28"/>
        <v>0</v>
      </c>
      <c r="BF114" s="106" t="str">
        <f t="shared" si="25"/>
        <v/>
      </c>
      <c r="BG114"/>
      <c r="BI114" s="67" t="str" cm="1">
        <f t="array" ref="BI114">IF(E114="","",LEFT(_xlfn.REGEXEXTRACT(UPPER(E114),"[A-Z][0-9][A-Z][ -]?[0-9][A-Z][0-9]"),3))</f>
        <v/>
      </c>
      <c r="BJ114" s="66" t="str">
        <f>IF(E114="","",_xlfn.XLOOKUP(BI114, CrestaP!B:B, CrestaP!D:D, ""))</f>
        <v/>
      </c>
      <c r="BK114" s="66" t="str">
        <f>IFERROR(
  INDEX(
    CrestaP!H4:M9,
    MATCH(J114, {"Frame","Brick Veneer","Joisted Masonry","Non-Combustible","Masonry Non-Combustible","Fire resistive"}, 0),
    MATCH(TEXT(BJ114,"@"), {"16","E5","E4","E3","E2","E1"}, 0)
  ),
  ""
)</f>
        <v/>
      </c>
    </row>
    <row r="115" spans="2:63" hidden="1" x14ac:dyDescent="0.25">
      <c r="B115"/>
      <c r="C115" s="24">
        <f t="shared" si="26"/>
        <v>108</v>
      </c>
      <c r="D115" s="25" t="s">
        <v>30</v>
      </c>
      <c r="E115" s="175"/>
      <c r="F115" s="89"/>
      <c r="G115" s="89"/>
      <c r="H115" s="104"/>
      <c r="I115" s="104"/>
      <c r="J115" s="89"/>
      <c r="K115" s="89"/>
      <c r="L115" s="89"/>
      <c r="M115" s="89"/>
      <c r="N115" s="89"/>
      <c r="O115" s="89"/>
      <c r="P115" s="104"/>
      <c r="Q115" s="104"/>
      <c r="R115" s="89"/>
      <c r="S115" s="89"/>
      <c r="T115" s="89"/>
      <c r="U115" s="25"/>
      <c r="V115" s="119"/>
      <c r="W115" s="19"/>
      <c r="X115" s="104"/>
      <c r="Y115" s="104"/>
      <c r="Z115" s="104"/>
      <c r="AA115" s="19"/>
      <c r="AB115" s="160" t="str">
        <f>IF(OR(AA115="",G115=""),"",VLOOKUP(G115,'Rating Factors'!$C:$E,3,FALSE)*AA115)</f>
        <v/>
      </c>
      <c r="AC115" s="20"/>
      <c r="AD115" s="20"/>
      <c r="AE115" s="104"/>
      <c r="AF115" s="96"/>
      <c r="AG115" s="20"/>
      <c r="AH115" s="119"/>
      <c r="AI115" s="19"/>
      <c r="AJ115" s="19"/>
      <c r="AK115" s="19"/>
      <c r="AL115" s="96"/>
      <c r="AM115" s="119"/>
      <c r="AN115" s="19"/>
      <c r="AO115" s="20"/>
      <c r="AP115" s="119"/>
      <c r="AQ115" s="115">
        <f t="shared" si="17"/>
        <v>0</v>
      </c>
      <c r="AR115" s="171">
        <f>IF(OR(Z115="",N(Z115)=0),
IF(
N(H115)+N(I115)=0,
0,
MAX(
IFERROR(VLOOKUP(AE115,'Rating Factors'!$BJ:$BK,2,FALSE),0),
((N(H115)*'Rating Factors'!$BF$2)+(N(I115)*'Rating Factors'!$BG$2))
*IFERROR(VLOOKUP(AE115,'Rating Factors'!$Z:$AA,2,FALSE),1)
*IFERROR(VLOOKUP(AJ115,'Rating Factors'!$AD:$AE,2,FALSE),1)
*IFERROR(VLOOKUP(SUM($H$8:$H$127),'Rating Factors'!$BM:$BN,2),1)
*IFERROR(VLOOKUP(SUM($I$8:$I$127),'Rating Factors'!$BH:$BI,2),1)
)
),
MAX(IFERROR(VLOOKUP(AE115,'Rating Factors'!$BJ:$BL,3,FALSE),0),
((N(I115)*'Rating Factors'!$BG$2))
*IFERROR(VLOOKUP(AE115,'Rating Factors'!$Z:$AA,2,FALSE),1)
*IFERROR(VLOOKUP(AJ115,'Rating Factors'!$AD:$AE,2,FALSE),1)
*N(AA115)* IFERROR(VLOOKUP(G115,'Rating Factors'!$C:$D,2,FALSE),1)*0.0045
))</f>
        <v>0</v>
      </c>
      <c r="AS115" s="172">
        <f t="shared" si="18"/>
        <v>0</v>
      </c>
      <c r="AT115" s="115">
        <f t="shared" si="19"/>
        <v>0</v>
      </c>
      <c r="AU115" s="173" t="str">
        <f t="shared" si="20"/>
        <v/>
      </c>
      <c r="AV115" s="174" t="str">
        <f t="shared" si="21"/>
        <v/>
      </c>
      <c r="AW115" s="119"/>
      <c r="AX115" s="141">
        <f>IF(
  OR(
    IFERROR(VLOOKUP(F115,'Rating Factors'!$A:$B,2,FALSE)="Decline",FALSE),
    IFERROR(VLOOKUP(G115,'Rating Factors'!$C:$D,2,FALSE)="Decline",FALSE),
    IFERROR(VLOOKUP(J115,'Rating Factors'!$F:$G,2,FALSE)="Decline",FALSE),
    IFERROR(VLOOKUP(K115,'Rating Factors'!$H:$I,2,FALSE)="Decline",FALSE),
    IFERROR(VLOOKUP(L115,'Rating Factors'!$J:$K,2,FALSE)="Decline",FALSE),
    IFERROR(VLOOKUP(M115,'Rating Factors'!$L:$M,2,FALSE)="Decline",FALSE),
    IFERROR(VLOOKUP(N115,'Rating Factors'!$N:$O,2,FALSE)="Decline",FALSE),
    IFERROR(VLOOKUP(O115,'Rating Factors'!$P:$Q,2,FALSE)="Decline",FALSE),
    IFERROR(VLOOKUP(P115,'Rating Factors'!$BO:$BP,2,FALSE)="Decline",FALSE),
    IFERROR(VLOOKUP(Q115,'Rating Factors'!$BQ:$BR,2,FALSE)="Decline",FALSE),
    IFERROR(VLOOKUP(R115,'Rating Factors'!$R:$S,2,FALSE)="Decline",FALSE),
    IFERROR(VLOOKUP(S115,'Rating Factors'!$T:$U,2,FALSE)="Decline",FALSE),
    IFERROR(VLOOKUP(T115,'Rating Factors'!$V:$W,2,FALSE)="Decline",FALSE),
    IFERROR(VLOOKUP(U115,'Rating Factors'!$X:$Y,2,FALSE)="Decline",FALSE),
    IFERROR(VLOOKUP(AI115,'Rating Factors'!$AB:$AC,2,FALSE)="Decline",FALSE),
    IFERROR(VLOOKUP(AK115,'Rating Factors'!$AK:$AL,2,FALSE)="Decline",FALSE),
    IFERROR(VLOOKUP(AL115,'Rating Factors'!$AP:$AQ,2,FALSE)="Decline",FALSE)
  ),
  "Declined",
  SUM(
    W115,
    X115,
    Y115*
      IFERROR(VLOOKUP(AD115,'Rating Factors'!$BS:$BT,2,FALSE),1),
    Z115*
      IFERROR(VLOOKUP(AD115,'Rating Factors'!$BS:$BT,2,FALSE),1)*
      IFERROR(VLOOKUP(AC115,'Rating Factors'!$BV:$BW,2,FALSE),1),
  )
  * IFERROR(VLOOKUP(F115,'Rating Factors'!$A:$B,2,FALSE),1)
  * IFERROR(VLOOKUP(G115,'Rating Factors'!$C:$D,2,FALSE),1)
  * IFERROR(VLOOKUP(J115,'Rating Factors'!$F:$G,2,FALSE),1)
  * IFERROR(VLOOKUP(K115,'Rating Factors'!$H:$I,2,FALSE),1)
  * IFERROR(VLOOKUP(L115,'Rating Factors'!$J:$K,2,FALSE),1)
  * IFERROR(VLOOKUP(M115,'Rating Factors'!$L:$M,2,FALSE),1)
  * IFERROR(VLOOKUP(N115,'Rating Factors'!$N:$O,2,FALSE),1)
  * IFERROR(VLOOKUP(O115,'Rating Factors'!$P:$Q,2,FALSE),1)
  * IFERROR(VLOOKUP(P115,'Rating Factors'!$BO:$BP,2,FALSE),1)
  * IFERROR(VLOOKUP(Q115,'Rating Factors'!$BQ:$BR,2,FALSE),1)
  * IFERROR(VLOOKUP(R115,'Rating Factors'!$R:$S,2,FALSE),1)
  * IFERROR(VLOOKUP(S115,'Rating Factors'!$T:$U,2,FALSE),1)
  * IFERROR(VLOOKUP(T115,'Rating Factors'!$V:$W,2,FALSE),1)
  * IFERROR(VLOOKUP(U115,'Rating Factors'!$X:$Y,2,FALSE),1)
  * IFERROR(VLOOKUP(AI115,'Rating Factors'!$AB:$AC,2,FALSE),1)
  * IFERROR(VLOOKUP(AK115,'Rating Factors'!$AK:$AL,2,FALSE),1)
  * IFERROR(VLOOKUP(AL115,'Rating Factors'!$AP:$AQ,2,FALSE),1)
  * IFERROR(LOOKUP(SUM($W$8:$Z$127),'Rating Factors'!$BD:$BD,'Rating Factors'!$BE:$BE),1))</f>
        <v>0</v>
      </c>
      <c r="AY115" s="158">
        <f>IF(OR(AQ115="Declined", AN115&lt;&gt;"Y"),
   0,
   N(AT115)*N('Rating Factors'!$AG$2)/100
)</f>
        <v>0</v>
      </c>
      <c r="AZ115" s="158">
        <f t="shared" si="29"/>
        <v>0</v>
      </c>
      <c r="BA115" s="142">
        <f>_xlfn.LET(
  _xlpm.base_ok, AND(AQ115&lt;&gt;"Declined", N(AQ115)&gt;0),
  _xlpm.is_full, EXACT(AG115, "Full Limit"),
  _xlpm.total_tiv, SUM($AT$8:$AT$127),
  _xlpm.loc_tiv, N(BE115),
  _xlpm.full_rate, N('Rating Factors'!$AO$10),
  _xlpm.min_per_loc, N('Rating Factors'!$AN$10),
  _xlpm.n_locs, N(E112),
  _xlpm.sched_prem, MAX(_xlpm.total_tiv*_xlpm.full_rate, _xlpm.min_per_loc*_xlpm.n_locs),
  _xlpm.alloc_prem, IF(_xlpm.total_tiv=0, 0, _xlpm.sched_prem * _xlpm.loc_tiv / _xlpm.total_tiv),
  _xlpm.cap_prem, IFERROR(VLOOKUP(AG115, 'Rating Factors'!$AM:$AN, 2, FALSE), 0),
  IF(_xlpm.base_ok,
     IF(_xlpm.is_full, _xlpm.alloc_prem, _xlpm.cap_prem),
     0
  )
)</f>
        <v>0</v>
      </c>
      <c r="BB115" s="143">
        <f t="shared" si="27"/>
        <v>0</v>
      </c>
      <c r="BC115" s="144">
        <f t="shared" si="23"/>
        <v>0</v>
      </c>
      <c r="BD115" s="145">
        <f t="shared" si="24"/>
        <v>0</v>
      </c>
      <c r="BE115" s="115">
        <f t="shared" si="28"/>
        <v>0</v>
      </c>
      <c r="BF115" s="106" t="str">
        <f t="shared" si="25"/>
        <v/>
      </c>
      <c r="BG115"/>
      <c r="BI115" s="67" t="str" cm="1">
        <f t="array" ref="BI115">IF(E115="","",LEFT(_xlfn.REGEXEXTRACT(UPPER(E115),"[A-Z][0-9][A-Z][ -]?[0-9][A-Z][0-9]"),3))</f>
        <v/>
      </c>
      <c r="BJ115" s="66" t="str">
        <f>IF(E115="","",_xlfn.XLOOKUP(BI115, CrestaP!B:B, CrestaP!D:D, ""))</f>
        <v/>
      </c>
      <c r="BK115" s="66" t="str">
        <f>IFERROR(
  INDEX(
    CrestaP!H4:M9,
    MATCH(J115, {"Frame","Brick Veneer","Joisted Masonry","Non-Combustible","Masonry Non-Combustible","Fire resistive"}, 0),
    MATCH(TEXT(BJ115,"@"), {"16","E5","E4","E3","E2","E1"}, 0)
  ),
  ""
)</f>
        <v/>
      </c>
    </row>
    <row r="116" spans="2:63" hidden="1" x14ac:dyDescent="0.25">
      <c r="B116"/>
      <c r="C116" s="24">
        <f t="shared" si="26"/>
        <v>109</v>
      </c>
      <c r="D116" s="25" t="s">
        <v>30</v>
      </c>
      <c r="E116" s="175"/>
      <c r="F116" s="89"/>
      <c r="G116" s="89"/>
      <c r="H116" s="104"/>
      <c r="I116" s="104"/>
      <c r="J116" s="89"/>
      <c r="K116" s="89"/>
      <c r="L116" s="89"/>
      <c r="M116" s="89"/>
      <c r="N116" s="89"/>
      <c r="O116" s="89"/>
      <c r="P116" s="104"/>
      <c r="Q116" s="104"/>
      <c r="R116" s="89"/>
      <c r="S116" s="89"/>
      <c r="T116" s="89"/>
      <c r="U116" s="25"/>
      <c r="V116" s="119"/>
      <c r="W116" s="19"/>
      <c r="X116" s="104"/>
      <c r="Y116" s="104"/>
      <c r="Z116" s="104"/>
      <c r="AA116" s="19"/>
      <c r="AB116" s="160" t="str">
        <f>IF(OR(AA116="",G116=""),"",VLOOKUP(G116,'Rating Factors'!$C:$E,3,FALSE)*AA116)</f>
        <v/>
      </c>
      <c r="AC116" s="20"/>
      <c r="AD116" s="20"/>
      <c r="AE116" s="104"/>
      <c r="AF116" s="96"/>
      <c r="AG116" s="20"/>
      <c r="AH116" s="119"/>
      <c r="AI116" s="19"/>
      <c r="AJ116" s="19"/>
      <c r="AK116" s="19"/>
      <c r="AL116" s="96"/>
      <c r="AM116" s="119"/>
      <c r="AN116" s="19"/>
      <c r="AO116" s="20"/>
      <c r="AP116" s="119"/>
      <c r="AQ116" s="115">
        <f t="shared" si="17"/>
        <v>0</v>
      </c>
      <c r="AR116" s="171">
        <f>IF(OR(Z116="",N(Z116)=0),
IF(
N(H116)+N(I116)=0,
0,
MAX(
IFERROR(VLOOKUP(AE116,'Rating Factors'!$BJ:$BK,2,FALSE),0),
((N(H116)*'Rating Factors'!$BF$2)+(N(I116)*'Rating Factors'!$BG$2))
*IFERROR(VLOOKUP(AE116,'Rating Factors'!$Z:$AA,2,FALSE),1)
*IFERROR(VLOOKUP(AJ116,'Rating Factors'!$AD:$AE,2,FALSE),1)
*IFERROR(VLOOKUP(SUM($H$8:$H$127),'Rating Factors'!$BM:$BN,2),1)
*IFERROR(VLOOKUP(SUM($I$8:$I$127),'Rating Factors'!$BH:$BI,2),1)
)
),
MAX(IFERROR(VLOOKUP(AE116,'Rating Factors'!$BJ:$BL,3,FALSE),0),
((N(I116)*'Rating Factors'!$BG$2))
*IFERROR(VLOOKUP(AE116,'Rating Factors'!$Z:$AA,2,FALSE),1)
*IFERROR(VLOOKUP(AJ116,'Rating Factors'!$AD:$AE,2,FALSE),1)
*N(AA116)* IFERROR(VLOOKUP(G116,'Rating Factors'!$C:$D,2,FALSE),1)*0.0045
))</f>
        <v>0</v>
      </c>
      <c r="AS116" s="172">
        <f t="shared" si="18"/>
        <v>0</v>
      </c>
      <c r="AT116" s="115">
        <f t="shared" si="19"/>
        <v>0</v>
      </c>
      <c r="AU116" s="173" t="str">
        <f t="shared" si="20"/>
        <v/>
      </c>
      <c r="AV116" s="174" t="str">
        <f t="shared" si="21"/>
        <v/>
      </c>
      <c r="AW116" s="119"/>
      <c r="AX116" s="141">
        <f>IF(
  OR(
    IFERROR(VLOOKUP(F116,'Rating Factors'!$A:$B,2,FALSE)="Decline",FALSE),
    IFERROR(VLOOKUP(G116,'Rating Factors'!$C:$D,2,FALSE)="Decline",FALSE),
    IFERROR(VLOOKUP(J116,'Rating Factors'!$F:$G,2,FALSE)="Decline",FALSE),
    IFERROR(VLOOKUP(K116,'Rating Factors'!$H:$I,2,FALSE)="Decline",FALSE),
    IFERROR(VLOOKUP(L116,'Rating Factors'!$J:$K,2,FALSE)="Decline",FALSE),
    IFERROR(VLOOKUP(M116,'Rating Factors'!$L:$M,2,FALSE)="Decline",FALSE),
    IFERROR(VLOOKUP(N116,'Rating Factors'!$N:$O,2,FALSE)="Decline",FALSE),
    IFERROR(VLOOKUP(O116,'Rating Factors'!$P:$Q,2,FALSE)="Decline",FALSE),
    IFERROR(VLOOKUP(P116,'Rating Factors'!$BO:$BP,2,FALSE)="Decline",FALSE),
    IFERROR(VLOOKUP(Q116,'Rating Factors'!$BQ:$BR,2,FALSE)="Decline",FALSE),
    IFERROR(VLOOKUP(R116,'Rating Factors'!$R:$S,2,FALSE)="Decline",FALSE),
    IFERROR(VLOOKUP(S116,'Rating Factors'!$T:$U,2,FALSE)="Decline",FALSE),
    IFERROR(VLOOKUP(T116,'Rating Factors'!$V:$W,2,FALSE)="Decline",FALSE),
    IFERROR(VLOOKUP(U116,'Rating Factors'!$X:$Y,2,FALSE)="Decline",FALSE),
    IFERROR(VLOOKUP(AI116,'Rating Factors'!$AB:$AC,2,FALSE)="Decline",FALSE),
    IFERROR(VLOOKUP(AK116,'Rating Factors'!$AK:$AL,2,FALSE)="Decline",FALSE),
    IFERROR(VLOOKUP(AL116,'Rating Factors'!$AP:$AQ,2,FALSE)="Decline",FALSE)
  ),
  "Declined",
  SUM(
    W116,
    X116,
    Y116*
      IFERROR(VLOOKUP(AD116,'Rating Factors'!$BS:$BT,2,FALSE),1),
    Z116*
      IFERROR(VLOOKUP(AD116,'Rating Factors'!$BS:$BT,2,FALSE),1)*
      IFERROR(VLOOKUP(AC116,'Rating Factors'!$BV:$BW,2,FALSE),1),
  )
  * IFERROR(VLOOKUP(F116,'Rating Factors'!$A:$B,2,FALSE),1)
  * IFERROR(VLOOKUP(G116,'Rating Factors'!$C:$D,2,FALSE),1)
  * IFERROR(VLOOKUP(J116,'Rating Factors'!$F:$G,2,FALSE),1)
  * IFERROR(VLOOKUP(K116,'Rating Factors'!$H:$I,2,FALSE),1)
  * IFERROR(VLOOKUP(L116,'Rating Factors'!$J:$K,2,FALSE),1)
  * IFERROR(VLOOKUP(M116,'Rating Factors'!$L:$M,2,FALSE),1)
  * IFERROR(VLOOKUP(N116,'Rating Factors'!$N:$O,2,FALSE),1)
  * IFERROR(VLOOKUP(O116,'Rating Factors'!$P:$Q,2,FALSE),1)
  * IFERROR(VLOOKUP(P116,'Rating Factors'!$BO:$BP,2,FALSE),1)
  * IFERROR(VLOOKUP(Q116,'Rating Factors'!$BQ:$BR,2,FALSE),1)
  * IFERROR(VLOOKUP(R116,'Rating Factors'!$R:$S,2,FALSE),1)
  * IFERROR(VLOOKUP(S116,'Rating Factors'!$T:$U,2,FALSE),1)
  * IFERROR(VLOOKUP(T116,'Rating Factors'!$V:$W,2,FALSE),1)
  * IFERROR(VLOOKUP(U116,'Rating Factors'!$X:$Y,2,FALSE),1)
  * IFERROR(VLOOKUP(AI116,'Rating Factors'!$AB:$AC,2,FALSE),1)
  * IFERROR(VLOOKUP(AK116,'Rating Factors'!$AK:$AL,2,FALSE),1)
  * IFERROR(VLOOKUP(AL116,'Rating Factors'!$AP:$AQ,2,FALSE),1)
  * IFERROR(LOOKUP(SUM($W$8:$Z$127),'Rating Factors'!$BD:$BD,'Rating Factors'!$BE:$BE),1))</f>
        <v>0</v>
      </c>
      <c r="AY116" s="158">
        <f>IF(OR(AQ116="Declined", AN116&lt;&gt;"Y"),
   0,
   N(AT116)*N('Rating Factors'!$AG$2)/100
)</f>
        <v>0</v>
      </c>
      <c r="AZ116" s="158">
        <f t="shared" si="29"/>
        <v>0</v>
      </c>
      <c r="BA116" s="142">
        <f>_xlfn.LET(
  _xlpm.base_ok, AND(AQ116&lt;&gt;"Declined", N(AQ116)&gt;0),
  _xlpm.is_full, EXACT(AG116, "Full Limit"),
  _xlpm.total_tiv, SUM($AT$8:$AT$127),
  _xlpm.loc_tiv, N(BE116),
  _xlpm.full_rate, N('Rating Factors'!$AO$10),
  _xlpm.min_per_loc, N('Rating Factors'!$AN$10),
  _xlpm.n_locs, N(E113),
  _xlpm.sched_prem, MAX(_xlpm.total_tiv*_xlpm.full_rate, _xlpm.min_per_loc*_xlpm.n_locs),
  _xlpm.alloc_prem, IF(_xlpm.total_tiv=0, 0, _xlpm.sched_prem * _xlpm.loc_tiv / _xlpm.total_tiv),
  _xlpm.cap_prem, IFERROR(VLOOKUP(AG116, 'Rating Factors'!$AM:$AN, 2, FALSE), 0),
  IF(_xlpm.base_ok,
     IF(_xlpm.is_full, _xlpm.alloc_prem, _xlpm.cap_prem),
     0
  )
)</f>
        <v>0</v>
      </c>
      <c r="BB116" s="143">
        <f t="shared" si="27"/>
        <v>0</v>
      </c>
      <c r="BC116" s="144">
        <f t="shared" si="23"/>
        <v>0</v>
      </c>
      <c r="BD116" s="145">
        <f t="shared" si="24"/>
        <v>0</v>
      </c>
      <c r="BE116" s="115">
        <f t="shared" si="28"/>
        <v>0</v>
      </c>
      <c r="BF116" s="106" t="str">
        <f t="shared" si="25"/>
        <v/>
      </c>
      <c r="BG116"/>
      <c r="BI116" s="67" t="str" cm="1">
        <f t="array" ref="BI116">IF(E116="","",LEFT(_xlfn.REGEXEXTRACT(UPPER(E116),"[A-Z][0-9][A-Z][ -]?[0-9][A-Z][0-9]"),3))</f>
        <v/>
      </c>
      <c r="BJ116" s="66" t="str">
        <f>IF(E116="","",_xlfn.XLOOKUP(BI116, CrestaP!B:B, CrestaP!D:D, ""))</f>
        <v/>
      </c>
      <c r="BK116" s="66" t="str">
        <f>IFERROR(
  INDEX(
    CrestaP!H4:M9,
    MATCH(J116, {"Frame","Brick Veneer","Joisted Masonry","Non-Combustible","Masonry Non-Combustible","Fire resistive"}, 0),
    MATCH(TEXT(BJ116,"@"), {"16","E5","E4","E3","E2","E1"}, 0)
  ),
  ""
)</f>
        <v/>
      </c>
    </row>
    <row r="117" spans="2:63" hidden="1" x14ac:dyDescent="0.25">
      <c r="B117"/>
      <c r="C117" s="24">
        <f t="shared" si="26"/>
        <v>110</v>
      </c>
      <c r="D117" s="25" t="s">
        <v>30</v>
      </c>
      <c r="E117" s="175"/>
      <c r="F117" s="89"/>
      <c r="G117" s="89"/>
      <c r="H117" s="104"/>
      <c r="I117" s="104"/>
      <c r="J117" s="89"/>
      <c r="K117" s="89"/>
      <c r="L117" s="89"/>
      <c r="M117" s="89"/>
      <c r="N117" s="89"/>
      <c r="O117" s="89"/>
      <c r="P117" s="104"/>
      <c r="Q117" s="104"/>
      <c r="R117" s="89"/>
      <c r="S117" s="89"/>
      <c r="T117" s="89"/>
      <c r="U117" s="25"/>
      <c r="V117" s="119"/>
      <c r="W117" s="19"/>
      <c r="X117" s="104"/>
      <c r="Y117" s="104"/>
      <c r="Z117" s="104"/>
      <c r="AA117" s="19"/>
      <c r="AB117" s="160" t="str">
        <f>IF(OR(AA117="",G117=""),"",VLOOKUP(G117,'Rating Factors'!$C:$E,3,FALSE)*AA117)</f>
        <v/>
      </c>
      <c r="AC117" s="20"/>
      <c r="AD117" s="20"/>
      <c r="AE117" s="104"/>
      <c r="AF117" s="96"/>
      <c r="AG117" s="20"/>
      <c r="AH117" s="119"/>
      <c r="AI117" s="19"/>
      <c r="AJ117" s="19"/>
      <c r="AK117" s="19"/>
      <c r="AL117" s="96"/>
      <c r="AM117" s="119"/>
      <c r="AN117" s="19"/>
      <c r="AO117" s="20"/>
      <c r="AP117" s="119"/>
      <c r="AQ117" s="115">
        <f t="shared" si="17"/>
        <v>0</v>
      </c>
      <c r="AR117" s="171">
        <f>IF(OR(Z117="",N(Z117)=0),
IF(
N(H117)+N(I117)=0,
0,
MAX(
IFERROR(VLOOKUP(AE117,'Rating Factors'!$BJ:$BK,2,FALSE),0),
((N(H117)*'Rating Factors'!$BF$2)+(N(I117)*'Rating Factors'!$BG$2))
*IFERROR(VLOOKUP(AE117,'Rating Factors'!$Z:$AA,2,FALSE),1)
*IFERROR(VLOOKUP(AJ117,'Rating Factors'!$AD:$AE,2,FALSE),1)
*IFERROR(VLOOKUP(SUM($H$8:$H$127),'Rating Factors'!$BM:$BN,2),1)
*IFERROR(VLOOKUP(SUM($I$8:$I$127),'Rating Factors'!$BH:$BI,2),1)
)
),
MAX(IFERROR(VLOOKUP(AE117,'Rating Factors'!$BJ:$BL,3,FALSE),0),
((N(I117)*'Rating Factors'!$BG$2))
*IFERROR(VLOOKUP(AE117,'Rating Factors'!$Z:$AA,2,FALSE),1)
*IFERROR(VLOOKUP(AJ117,'Rating Factors'!$AD:$AE,2,FALSE),1)
*N(AA117)* IFERROR(VLOOKUP(G117,'Rating Factors'!$C:$D,2,FALSE),1)*0.0045
))</f>
        <v>0</v>
      </c>
      <c r="AS117" s="172">
        <f t="shared" si="18"/>
        <v>0</v>
      </c>
      <c r="AT117" s="115">
        <f t="shared" si="19"/>
        <v>0</v>
      </c>
      <c r="AU117" s="173" t="str">
        <f t="shared" si="20"/>
        <v/>
      </c>
      <c r="AV117" s="174" t="str">
        <f t="shared" si="21"/>
        <v/>
      </c>
      <c r="AW117" s="119"/>
      <c r="AX117" s="141">
        <f>IF(
  OR(
    IFERROR(VLOOKUP(F117,'Rating Factors'!$A:$B,2,FALSE)="Decline",FALSE),
    IFERROR(VLOOKUP(G117,'Rating Factors'!$C:$D,2,FALSE)="Decline",FALSE),
    IFERROR(VLOOKUP(J117,'Rating Factors'!$F:$G,2,FALSE)="Decline",FALSE),
    IFERROR(VLOOKUP(K117,'Rating Factors'!$H:$I,2,FALSE)="Decline",FALSE),
    IFERROR(VLOOKUP(L117,'Rating Factors'!$J:$K,2,FALSE)="Decline",FALSE),
    IFERROR(VLOOKUP(M117,'Rating Factors'!$L:$M,2,FALSE)="Decline",FALSE),
    IFERROR(VLOOKUP(N117,'Rating Factors'!$N:$O,2,FALSE)="Decline",FALSE),
    IFERROR(VLOOKUP(O117,'Rating Factors'!$P:$Q,2,FALSE)="Decline",FALSE),
    IFERROR(VLOOKUP(P117,'Rating Factors'!$BO:$BP,2,FALSE)="Decline",FALSE),
    IFERROR(VLOOKUP(Q117,'Rating Factors'!$BQ:$BR,2,FALSE)="Decline",FALSE),
    IFERROR(VLOOKUP(R117,'Rating Factors'!$R:$S,2,FALSE)="Decline",FALSE),
    IFERROR(VLOOKUP(S117,'Rating Factors'!$T:$U,2,FALSE)="Decline",FALSE),
    IFERROR(VLOOKUP(T117,'Rating Factors'!$V:$W,2,FALSE)="Decline",FALSE),
    IFERROR(VLOOKUP(U117,'Rating Factors'!$X:$Y,2,FALSE)="Decline",FALSE),
    IFERROR(VLOOKUP(AI117,'Rating Factors'!$AB:$AC,2,FALSE)="Decline",FALSE),
    IFERROR(VLOOKUP(AK117,'Rating Factors'!$AK:$AL,2,FALSE)="Decline",FALSE),
    IFERROR(VLOOKUP(AL117,'Rating Factors'!$AP:$AQ,2,FALSE)="Decline",FALSE)
  ),
  "Declined",
  SUM(
    W117,
    X117,
    Y117*
      IFERROR(VLOOKUP(AD117,'Rating Factors'!$BS:$BT,2,FALSE),1),
    Z117*
      IFERROR(VLOOKUP(AD117,'Rating Factors'!$BS:$BT,2,FALSE),1)*
      IFERROR(VLOOKUP(AC117,'Rating Factors'!$BV:$BW,2,FALSE),1),
  )
  * IFERROR(VLOOKUP(F117,'Rating Factors'!$A:$B,2,FALSE),1)
  * IFERROR(VLOOKUP(G117,'Rating Factors'!$C:$D,2,FALSE),1)
  * IFERROR(VLOOKUP(J117,'Rating Factors'!$F:$G,2,FALSE),1)
  * IFERROR(VLOOKUP(K117,'Rating Factors'!$H:$I,2,FALSE),1)
  * IFERROR(VLOOKUP(L117,'Rating Factors'!$J:$K,2,FALSE),1)
  * IFERROR(VLOOKUP(M117,'Rating Factors'!$L:$M,2,FALSE),1)
  * IFERROR(VLOOKUP(N117,'Rating Factors'!$N:$O,2,FALSE),1)
  * IFERROR(VLOOKUP(O117,'Rating Factors'!$P:$Q,2,FALSE),1)
  * IFERROR(VLOOKUP(P117,'Rating Factors'!$BO:$BP,2,FALSE),1)
  * IFERROR(VLOOKUP(Q117,'Rating Factors'!$BQ:$BR,2,FALSE),1)
  * IFERROR(VLOOKUP(R117,'Rating Factors'!$R:$S,2,FALSE),1)
  * IFERROR(VLOOKUP(S117,'Rating Factors'!$T:$U,2,FALSE),1)
  * IFERROR(VLOOKUP(T117,'Rating Factors'!$V:$W,2,FALSE),1)
  * IFERROR(VLOOKUP(U117,'Rating Factors'!$X:$Y,2,FALSE),1)
  * IFERROR(VLOOKUP(AI117,'Rating Factors'!$AB:$AC,2,FALSE),1)
  * IFERROR(VLOOKUP(AK117,'Rating Factors'!$AK:$AL,2,FALSE),1)
  * IFERROR(VLOOKUP(AL117,'Rating Factors'!$AP:$AQ,2,FALSE),1)
  * IFERROR(LOOKUP(SUM($W$8:$Z$127),'Rating Factors'!$BD:$BD,'Rating Factors'!$BE:$BE),1))</f>
        <v>0</v>
      </c>
      <c r="AY117" s="158">
        <f>IF(OR(AQ117="Declined", AN117&lt;&gt;"Y"),
   0,
   N(AT117)*N('Rating Factors'!$AG$2)/100
)</f>
        <v>0</v>
      </c>
      <c r="AZ117" s="158">
        <f t="shared" si="29"/>
        <v>0</v>
      </c>
      <c r="BA117" s="142">
        <f>_xlfn.LET(
  _xlpm.base_ok, AND(AQ117&lt;&gt;"Declined", N(AQ117)&gt;0),
  _xlpm.is_full, EXACT(AG117, "Full Limit"),
  _xlpm.total_tiv, SUM($AT$8:$AT$127),
  _xlpm.loc_tiv, N(BE117),
  _xlpm.full_rate, N('Rating Factors'!$AO$10),
  _xlpm.min_per_loc, N('Rating Factors'!$AN$10),
  _xlpm.n_locs, N(E114),
  _xlpm.sched_prem, MAX(_xlpm.total_tiv*_xlpm.full_rate, _xlpm.min_per_loc*_xlpm.n_locs),
  _xlpm.alloc_prem, IF(_xlpm.total_tiv=0, 0, _xlpm.sched_prem * _xlpm.loc_tiv / _xlpm.total_tiv),
  _xlpm.cap_prem, IFERROR(VLOOKUP(AG117, 'Rating Factors'!$AM:$AN, 2, FALSE), 0),
  IF(_xlpm.base_ok,
     IF(_xlpm.is_full, _xlpm.alloc_prem, _xlpm.cap_prem),
     0
  )
)</f>
        <v>0</v>
      </c>
      <c r="BB117" s="143">
        <f t="shared" si="27"/>
        <v>0</v>
      </c>
      <c r="BC117" s="144">
        <f t="shared" si="23"/>
        <v>0</v>
      </c>
      <c r="BD117" s="145">
        <f t="shared" si="24"/>
        <v>0</v>
      </c>
      <c r="BE117" s="115">
        <f t="shared" si="28"/>
        <v>0</v>
      </c>
      <c r="BF117" s="106" t="str">
        <f t="shared" si="25"/>
        <v/>
      </c>
      <c r="BG117"/>
      <c r="BI117" s="67" t="str" cm="1">
        <f t="array" ref="BI117">IF(E117="","",LEFT(_xlfn.REGEXEXTRACT(UPPER(E117),"[A-Z][0-9][A-Z][ -]?[0-9][A-Z][0-9]"),3))</f>
        <v/>
      </c>
      <c r="BJ117" s="66" t="str">
        <f>IF(E117="","",_xlfn.XLOOKUP(BI117, CrestaP!B:B, CrestaP!D:D, ""))</f>
        <v/>
      </c>
      <c r="BK117" s="66" t="str">
        <f>IFERROR(
  INDEX(
    CrestaP!H4:M9,
    MATCH(J117, {"Frame","Brick Veneer","Joisted Masonry","Non-Combustible","Masonry Non-Combustible","Fire resistive"}, 0),
    MATCH(TEXT(BJ117,"@"), {"16","E5","E4","E3","E2","E1"}, 0)
  ),
  ""
)</f>
        <v/>
      </c>
    </row>
    <row r="118" spans="2:63" hidden="1" x14ac:dyDescent="0.25">
      <c r="B118"/>
      <c r="C118" s="24">
        <f t="shared" si="26"/>
        <v>111</v>
      </c>
      <c r="D118" s="25" t="s">
        <v>30</v>
      </c>
      <c r="E118" s="175"/>
      <c r="F118" s="89"/>
      <c r="G118" s="89"/>
      <c r="H118" s="104"/>
      <c r="I118" s="104"/>
      <c r="J118" s="89"/>
      <c r="K118" s="89"/>
      <c r="L118" s="89"/>
      <c r="M118" s="89"/>
      <c r="N118" s="89"/>
      <c r="O118" s="89"/>
      <c r="P118" s="104"/>
      <c r="Q118" s="104"/>
      <c r="R118" s="89"/>
      <c r="S118" s="89"/>
      <c r="T118" s="89"/>
      <c r="U118" s="25"/>
      <c r="V118" s="119"/>
      <c r="W118" s="19"/>
      <c r="X118" s="104"/>
      <c r="Y118" s="104"/>
      <c r="Z118" s="104"/>
      <c r="AA118" s="19"/>
      <c r="AB118" s="160" t="str">
        <f>IF(OR(AA118="",G118=""),"",VLOOKUP(G118,'Rating Factors'!$C:$E,3,FALSE)*AA118)</f>
        <v/>
      </c>
      <c r="AC118" s="20"/>
      <c r="AD118" s="20"/>
      <c r="AE118" s="104"/>
      <c r="AF118" s="96"/>
      <c r="AG118" s="20"/>
      <c r="AH118" s="119"/>
      <c r="AI118" s="19"/>
      <c r="AJ118" s="19"/>
      <c r="AK118" s="19"/>
      <c r="AL118" s="96"/>
      <c r="AM118" s="119"/>
      <c r="AN118" s="19"/>
      <c r="AO118" s="20"/>
      <c r="AP118" s="119"/>
      <c r="AQ118" s="115">
        <f t="shared" si="17"/>
        <v>0</v>
      </c>
      <c r="AR118" s="171">
        <f>IF(OR(Z118="",N(Z118)=0),
IF(
N(H118)+N(I118)=0,
0,
MAX(
IFERROR(VLOOKUP(AE118,'Rating Factors'!$BJ:$BK,2,FALSE),0),
((N(H118)*'Rating Factors'!$BF$2)+(N(I118)*'Rating Factors'!$BG$2))
*IFERROR(VLOOKUP(AE118,'Rating Factors'!$Z:$AA,2,FALSE),1)
*IFERROR(VLOOKUP(AJ118,'Rating Factors'!$AD:$AE,2,FALSE),1)
*IFERROR(VLOOKUP(SUM($H$8:$H$127),'Rating Factors'!$BM:$BN,2),1)
*IFERROR(VLOOKUP(SUM($I$8:$I$127),'Rating Factors'!$BH:$BI,2),1)
)
),
MAX(IFERROR(VLOOKUP(AE118,'Rating Factors'!$BJ:$BL,3,FALSE),0),
((N(I118)*'Rating Factors'!$BG$2))
*IFERROR(VLOOKUP(AE118,'Rating Factors'!$Z:$AA,2,FALSE),1)
*IFERROR(VLOOKUP(AJ118,'Rating Factors'!$AD:$AE,2,FALSE),1)
*N(AA118)* IFERROR(VLOOKUP(G118,'Rating Factors'!$C:$D,2,FALSE),1)*0.0045
))</f>
        <v>0</v>
      </c>
      <c r="AS118" s="172">
        <f t="shared" si="18"/>
        <v>0</v>
      </c>
      <c r="AT118" s="115">
        <f t="shared" si="19"/>
        <v>0</v>
      </c>
      <c r="AU118" s="173" t="str">
        <f t="shared" si="20"/>
        <v/>
      </c>
      <c r="AV118" s="174" t="str">
        <f t="shared" si="21"/>
        <v/>
      </c>
      <c r="AW118" s="119"/>
      <c r="AX118" s="141">
        <f>IF(
  OR(
    IFERROR(VLOOKUP(F118,'Rating Factors'!$A:$B,2,FALSE)="Decline",FALSE),
    IFERROR(VLOOKUP(G118,'Rating Factors'!$C:$D,2,FALSE)="Decline",FALSE),
    IFERROR(VLOOKUP(J118,'Rating Factors'!$F:$G,2,FALSE)="Decline",FALSE),
    IFERROR(VLOOKUP(K118,'Rating Factors'!$H:$I,2,FALSE)="Decline",FALSE),
    IFERROR(VLOOKUP(L118,'Rating Factors'!$J:$K,2,FALSE)="Decline",FALSE),
    IFERROR(VLOOKUP(M118,'Rating Factors'!$L:$M,2,FALSE)="Decline",FALSE),
    IFERROR(VLOOKUP(N118,'Rating Factors'!$N:$O,2,FALSE)="Decline",FALSE),
    IFERROR(VLOOKUP(O118,'Rating Factors'!$P:$Q,2,FALSE)="Decline",FALSE),
    IFERROR(VLOOKUP(P118,'Rating Factors'!$BO:$BP,2,FALSE)="Decline",FALSE),
    IFERROR(VLOOKUP(Q118,'Rating Factors'!$BQ:$BR,2,FALSE)="Decline",FALSE),
    IFERROR(VLOOKUP(R118,'Rating Factors'!$R:$S,2,FALSE)="Decline",FALSE),
    IFERROR(VLOOKUP(S118,'Rating Factors'!$T:$U,2,FALSE)="Decline",FALSE),
    IFERROR(VLOOKUP(T118,'Rating Factors'!$V:$W,2,FALSE)="Decline",FALSE),
    IFERROR(VLOOKUP(U118,'Rating Factors'!$X:$Y,2,FALSE)="Decline",FALSE),
    IFERROR(VLOOKUP(AI118,'Rating Factors'!$AB:$AC,2,FALSE)="Decline",FALSE),
    IFERROR(VLOOKUP(AK118,'Rating Factors'!$AK:$AL,2,FALSE)="Decline",FALSE),
    IFERROR(VLOOKUP(AL118,'Rating Factors'!$AP:$AQ,2,FALSE)="Decline",FALSE)
  ),
  "Declined",
  SUM(
    W118,
    X118,
    Y118*
      IFERROR(VLOOKUP(AD118,'Rating Factors'!$BS:$BT,2,FALSE),1),
    Z118*
      IFERROR(VLOOKUP(AD118,'Rating Factors'!$BS:$BT,2,FALSE),1)*
      IFERROR(VLOOKUP(AC118,'Rating Factors'!$BV:$BW,2,FALSE),1),
  )
  * IFERROR(VLOOKUP(F118,'Rating Factors'!$A:$B,2,FALSE),1)
  * IFERROR(VLOOKUP(G118,'Rating Factors'!$C:$D,2,FALSE),1)
  * IFERROR(VLOOKUP(J118,'Rating Factors'!$F:$G,2,FALSE),1)
  * IFERROR(VLOOKUP(K118,'Rating Factors'!$H:$I,2,FALSE),1)
  * IFERROR(VLOOKUP(L118,'Rating Factors'!$J:$K,2,FALSE),1)
  * IFERROR(VLOOKUP(M118,'Rating Factors'!$L:$M,2,FALSE),1)
  * IFERROR(VLOOKUP(N118,'Rating Factors'!$N:$O,2,FALSE),1)
  * IFERROR(VLOOKUP(O118,'Rating Factors'!$P:$Q,2,FALSE),1)
  * IFERROR(VLOOKUP(P118,'Rating Factors'!$BO:$BP,2,FALSE),1)
  * IFERROR(VLOOKUP(Q118,'Rating Factors'!$BQ:$BR,2,FALSE),1)
  * IFERROR(VLOOKUP(R118,'Rating Factors'!$R:$S,2,FALSE),1)
  * IFERROR(VLOOKUP(S118,'Rating Factors'!$T:$U,2,FALSE),1)
  * IFERROR(VLOOKUP(T118,'Rating Factors'!$V:$W,2,FALSE),1)
  * IFERROR(VLOOKUP(U118,'Rating Factors'!$X:$Y,2,FALSE),1)
  * IFERROR(VLOOKUP(AI118,'Rating Factors'!$AB:$AC,2,FALSE),1)
  * IFERROR(VLOOKUP(AK118,'Rating Factors'!$AK:$AL,2,FALSE),1)
  * IFERROR(VLOOKUP(AL118,'Rating Factors'!$AP:$AQ,2,FALSE),1)
  * IFERROR(LOOKUP(SUM($W$8:$Z$127),'Rating Factors'!$BD:$BD,'Rating Factors'!$BE:$BE),1))</f>
        <v>0</v>
      </c>
      <c r="AY118" s="158">
        <f>IF(OR(AQ118="Declined", AN118&lt;&gt;"Y"),
   0,
   N(AT118)*N('Rating Factors'!$AG$2)/100
)</f>
        <v>0</v>
      </c>
      <c r="AZ118" s="158">
        <f t="shared" si="29"/>
        <v>0</v>
      </c>
      <c r="BA118" s="142">
        <f>_xlfn.LET(
  _xlpm.base_ok, AND(AQ118&lt;&gt;"Declined", N(AQ118)&gt;0),
  _xlpm.is_full, EXACT(AG118, "Full Limit"),
  _xlpm.total_tiv, SUM($AT$8:$AT$127),
  _xlpm.loc_tiv, N(BE118),
  _xlpm.full_rate, N('Rating Factors'!$AO$10),
  _xlpm.min_per_loc, N('Rating Factors'!$AN$10),
  _xlpm.n_locs, N(E115),
  _xlpm.sched_prem, MAX(_xlpm.total_tiv*_xlpm.full_rate, _xlpm.min_per_loc*_xlpm.n_locs),
  _xlpm.alloc_prem, IF(_xlpm.total_tiv=0, 0, _xlpm.sched_prem * _xlpm.loc_tiv / _xlpm.total_tiv),
  _xlpm.cap_prem, IFERROR(VLOOKUP(AG118, 'Rating Factors'!$AM:$AN, 2, FALSE), 0),
  IF(_xlpm.base_ok,
     IF(_xlpm.is_full, _xlpm.alloc_prem, _xlpm.cap_prem),
     0
  )
)</f>
        <v>0</v>
      </c>
      <c r="BB118" s="143">
        <f t="shared" si="27"/>
        <v>0</v>
      </c>
      <c r="BC118" s="144">
        <f t="shared" si="23"/>
        <v>0</v>
      </c>
      <c r="BD118" s="145">
        <f t="shared" si="24"/>
        <v>0</v>
      </c>
      <c r="BE118" s="115">
        <f t="shared" si="28"/>
        <v>0</v>
      </c>
      <c r="BF118" s="106" t="str">
        <f t="shared" si="25"/>
        <v/>
      </c>
      <c r="BG118"/>
      <c r="BI118" s="67" t="str" cm="1">
        <f t="array" ref="BI118">IF(E118="","",LEFT(_xlfn.REGEXEXTRACT(UPPER(E118),"[A-Z][0-9][A-Z][ -]?[0-9][A-Z][0-9]"),3))</f>
        <v/>
      </c>
      <c r="BJ118" s="66" t="str">
        <f>IF(E118="","",_xlfn.XLOOKUP(BI118, CrestaP!B:B, CrestaP!D:D, ""))</f>
        <v/>
      </c>
      <c r="BK118" s="66" t="str">
        <f>IFERROR(
  INDEX(
    CrestaP!H4:M9,
    MATCH(J118, {"Frame","Brick Veneer","Joisted Masonry","Non-Combustible","Masonry Non-Combustible","Fire resistive"}, 0),
    MATCH(TEXT(BJ118,"@"), {"16","E5","E4","E3","E2","E1"}, 0)
  ),
  ""
)</f>
        <v/>
      </c>
    </row>
    <row r="119" spans="2:63" hidden="1" x14ac:dyDescent="0.25">
      <c r="B119"/>
      <c r="C119" s="24">
        <f t="shared" si="26"/>
        <v>112</v>
      </c>
      <c r="D119" s="25" t="s">
        <v>30</v>
      </c>
      <c r="E119" s="175"/>
      <c r="F119" s="89"/>
      <c r="G119" s="89"/>
      <c r="H119" s="104"/>
      <c r="I119" s="104"/>
      <c r="J119" s="89"/>
      <c r="K119" s="89"/>
      <c r="L119" s="89"/>
      <c r="M119" s="89"/>
      <c r="N119" s="89"/>
      <c r="O119" s="89"/>
      <c r="P119" s="104"/>
      <c r="Q119" s="104"/>
      <c r="R119" s="89"/>
      <c r="S119" s="89"/>
      <c r="T119" s="89"/>
      <c r="U119" s="25"/>
      <c r="V119" s="119"/>
      <c r="W119" s="19"/>
      <c r="X119" s="104"/>
      <c r="Y119" s="104"/>
      <c r="Z119" s="104"/>
      <c r="AA119" s="19"/>
      <c r="AB119" s="160" t="str">
        <f>IF(OR(AA119="",G119=""),"",VLOOKUP(G119,'Rating Factors'!$C:$E,3,FALSE)*AA119)</f>
        <v/>
      </c>
      <c r="AC119" s="20"/>
      <c r="AD119" s="20"/>
      <c r="AE119" s="104"/>
      <c r="AF119" s="96"/>
      <c r="AG119" s="20"/>
      <c r="AH119" s="119"/>
      <c r="AI119" s="19"/>
      <c r="AJ119" s="19"/>
      <c r="AK119" s="19"/>
      <c r="AL119" s="96"/>
      <c r="AM119" s="119"/>
      <c r="AN119" s="19"/>
      <c r="AO119" s="20"/>
      <c r="AP119" s="119"/>
      <c r="AQ119" s="115">
        <f t="shared" si="17"/>
        <v>0</v>
      </c>
      <c r="AR119" s="171">
        <f>IF(OR(Z119="",N(Z119)=0),
IF(
N(H119)+N(I119)=0,
0,
MAX(
IFERROR(VLOOKUP(AE119,'Rating Factors'!$BJ:$BK,2,FALSE),0),
((N(H119)*'Rating Factors'!$BF$2)+(N(I119)*'Rating Factors'!$BG$2))
*IFERROR(VLOOKUP(AE119,'Rating Factors'!$Z:$AA,2,FALSE),1)
*IFERROR(VLOOKUP(AJ119,'Rating Factors'!$AD:$AE,2,FALSE),1)
*IFERROR(VLOOKUP(SUM($H$8:$H$127),'Rating Factors'!$BM:$BN,2),1)
*IFERROR(VLOOKUP(SUM($I$8:$I$127),'Rating Factors'!$BH:$BI,2),1)
)
),
MAX(IFERROR(VLOOKUP(AE119,'Rating Factors'!$BJ:$BL,3,FALSE),0),
((N(I119)*'Rating Factors'!$BG$2))
*IFERROR(VLOOKUP(AE119,'Rating Factors'!$Z:$AA,2,FALSE),1)
*IFERROR(VLOOKUP(AJ119,'Rating Factors'!$AD:$AE,2,FALSE),1)
*N(AA119)* IFERROR(VLOOKUP(G119,'Rating Factors'!$C:$D,2,FALSE),1)*0.0045
))</f>
        <v>0</v>
      </c>
      <c r="AS119" s="172">
        <f t="shared" si="18"/>
        <v>0</v>
      </c>
      <c r="AT119" s="115">
        <f t="shared" si="19"/>
        <v>0</v>
      </c>
      <c r="AU119" s="173" t="str">
        <f t="shared" si="20"/>
        <v/>
      </c>
      <c r="AV119" s="174" t="str">
        <f t="shared" si="21"/>
        <v/>
      </c>
      <c r="AW119" s="119"/>
      <c r="AX119" s="141">
        <f>IF(
  OR(
    IFERROR(VLOOKUP(F119,'Rating Factors'!$A:$B,2,FALSE)="Decline",FALSE),
    IFERROR(VLOOKUP(G119,'Rating Factors'!$C:$D,2,FALSE)="Decline",FALSE),
    IFERROR(VLOOKUP(J119,'Rating Factors'!$F:$G,2,FALSE)="Decline",FALSE),
    IFERROR(VLOOKUP(K119,'Rating Factors'!$H:$I,2,FALSE)="Decline",FALSE),
    IFERROR(VLOOKUP(L119,'Rating Factors'!$J:$K,2,FALSE)="Decline",FALSE),
    IFERROR(VLOOKUP(M119,'Rating Factors'!$L:$M,2,FALSE)="Decline",FALSE),
    IFERROR(VLOOKUP(N119,'Rating Factors'!$N:$O,2,FALSE)="Decline",FALSE),
    IFERROR(VLOOKUP(O119,'Rating Factors'!$P:$Q,2,FALSE)="Decline",FALSE),
    IFERROR(VLOOKUP(P119,'Rating Factors'!$BO:$BP,2,FALSE)="Decline",FALSE),
    IFERROR(VLOOKUP(Q119,'Rating Factors'!$BQ:$BR,2,FALSE)="Decline",FALSE),
    IFERROR(VLOOKUP(R119,'Rating Factors'!$R:$S,2,FALSE)="Decline",FALSE),
    IFERROR(VLOOKUP(S119,'Rating Factors'!$T:$U,2,FALSE)="Decline",FALSE),
    IFERROR(VLOOKUP(T119,'Rating Factors'!$V:$W,2,FALSE)="Decline",FALSE),
    IFERROR(VLOOKUP(U119,'Rating Factors'!$X:$Y,2,FALSE)="Decline",FALSE),
    IFERROR(VLOOKUP(AI119,'Rating Factors'!$AB:$AC,2,FALSE)="Decline",FALSE),
    IFERROR(VLOOKUP(AK119,'Rating Factors'!$AK:$AL,2,FALSE)="Decline",FALSE),
    IFERROR(VLOOKUP(AL119,'Rating Factors'!$AP:$AQ,2,FALSE)="Decline",FALSE)
  ),
  "Declined",
  SUM(
    W119,
    X119,
    Y119*
      IFERROR(VLOOKUP(AD119,'Rating Factors'!$BS:$BT,2,FALSE),1),
    Z119*
      IFERROR(VLOOKUP(AD119,'Rating Factors'!$BS:$BT,2,FALSE),1)*
      IFERROR(VLOOKUP(AC119,'Rating Factors'!$BV:$BW,2,FALSE),1),
  )
  * IFERROR(VLOOKUP(F119,'Rating Factors'!$A:$B,2,FALSE),1)
  * IFERROR(VLOOKUP(G119,'Rating Factors'!$C:$D,2,FALSE),1)
  * IFERROR(VLOOKUP(J119,'Rating Factors'!$F:$G,2,FALSE),1)
  * IFERROR(VLOOKUP(K119,'Rating Factors'!$H:$I,2,FALSE),1)
  * IFERROR(VLOOKUP(L119,'Rating Factors'!$J:$K,2,FALSE),1)
  * IFERROR(VLOOKUP(M119,'Rating Factors'!$L:$M,2,FALSE),1)
  * IFERROR(VLOOKUP(N119,'Rating Factors'!$N:$O,2,FALSE),1)
  * IFERROR(VLOOKUP(O119,'Rating Factors'!$P:$Q,2,FALSE),1)
  * IFERROR(VLOOKUP(P119,'Rating Factors'!$BO:$BP,2,FALSE),1)
  * IFERROR(VLOOKUP(Q119,'Rating Factors'!$BQ:$BR,2,FALSE),1)
  * IFERROR(VLOOKUP(R119,'Rating Factors'!$R:$S,2,FALSE),1)
  * IFERROR(VLOOKUP(S119,'Rating Factors'!$T:$U,2,FALSE),1)
  * IFERROR(VLOOKUP(T119,'Rating Factors'!$V:$W,2,FALSE),1)
  * IFERROR(VLOOKUP(U119,'Rating Factors'!$X:$Y,2,FALSE),1)
  * IFERROR(VLOOKUP(AI119,'Rating Factors'!$AB:$AC,2,FALSE),1)
  * IFERROR(VLOOKUP(AK119,'Rating Factors'!$AK:$AL,2,FALSE),1)
  * IFERROR(VLOOKUP(AL119,'Rating Factors'!$AP:$AQ,2,FALSE),1)
  * IFERROR(LOOKUP(SUM($W$8:$Z$127),'Rating Factors'!$BD:$BD,'Rating Factors'!$BE:$BE),1))</f>
        <v>0</v>
      </c>
      <c r="AY119" s="158">
        <f>IF(OR(AQ119="Declined", AN119&lt;&gt;"Y"),
   0,
   N(AT119)*N('Rating Factors'!$AG$2)/100
)</f>
        <v>0</v>
      </c>
      <c r="AZ119" s="158">
        <f t="shared" si="29"/>
        <v>0</v>
      </c>
      <c r="BA119" s="142">
        <f>_xlfn.LET(
  _xlpm.base_ok, AND(AQ119&lt;&gt;"Declined", N(AQ119)&gt;0),
  _xlpm.is_full, EXACT(AG119, "Full Limit"),
  _xlpm.total_tiv, SUM($AT$8:$AT$127),
  _xlpm.loc_tiv, N(BE119),
  _xlpm.full_rate, N('Rating Factors'!$AO$10),
  _xlpm.min_per_loc, N('Rating Factors'!$AN$10),
  _xlpm.n_locs, N(E116),
  _xlpm.sched_prem, MAX(_xlpm.total_tiv*_xlpm.full_rate, _xlpm.min_per_loc*_xlpm.n_locs),
  _xlpm.alloc_prem, IF(_xlpm.total_tiv=0, 0, _xlpm.sched_prem * _xlpm.loc_tiv / _xlpm.total_tiv),
  _xlpm.cap_prem, IFERROR(VLOOKUP(AG119, 'Rating Factors'!$AM:$AN, 2, FALSE), 0),
  IF(_xlpm.base_ok,
     IF(_xlpm.is_full, _xlpm.alloc_prem, _xlpm.cap_prem),
     0
  )
)</f>
        <v>0</v>
      </c>
      <c r="BB119" s="143">
        <f t="shared" si="27"/>
        <v>0</v>
      </c>
      <c r="BC119" s="144">
        <f t="shared" si="23"/>
        <v>0</v>
      </c>
      <c r="BD119" s="145">
        <f t="shared" si="24"/>
        <v>0</v>
      </c>
      <c r="BE119" s="115">
        <f t="shared" si="28"/>
        <v>0</v>
      </c>
      <c r="BF119" s="106" t="str">
        <f t="shared" si="25"/>
        <v/>
      </c>
      <c r="BG119"/>
      <c r="BI119" s="67" t="str" cm="1">
        <f t="array" ref="BI119">IF(E119="","",LEFT(_xlfn.REGEXEXTRACT(UPPER(E119),"[A-Z][0-9][A-Z][ -]?[0-9][A-Z][0-9]"),3))</f>
        <v/>
      </c>
      <c r="BJ119" s="66" t="str">
        <f>IF(E119="","",_xlfn.XLOOKUP(BI119, CrestaP!B:B, CrestaP!D:D, ""))</f>
        <v/>
      </c>
      <c r="BK119" s="66" t="str">
        <f>IFERROR(
  INDEX(
    CrestaP!H4:M9,
    MATCH(J119, {"Frame","Brick Veneer","Joisted Masonry","Non-Combustible","Masonry Non-Combustible","Fire resistive"}, 0),
    MATCH(TEXT(BJ119,"@"), {"16","E5","E4","E3","E2","E1"}, 0)
  ),
  ""
)</f>
        <v/>
      </c>
    </row>
    <row r="120" spans="2:63" hidden="1" x14ac:dyDescent="0.25">
      <c r="B120"/>
      <c r="C120" s="24">
        <f t="shared" si="26"/>
        <v>113</v>
      </c>
      <c r="D120" s="25" t="s">
        <v>30</v>
      </c>
      <c r="E120" s="175"/>
      <c r="F120" s="89"/>
      <c r="G120" s="89"/>
      <c r="H120" s="104"/>
      <c r="I120" s="104"/>
      <c r="J120" s="89"/>
      <c r="K120" s="89"/>
      <c r="L120" s="89"/>
      <c r="M120" s="89"/>
      <c r="N120" s="89"/>
      <c r="O120" s="89"/>
      <c r="P120" s="104"/>
      <c r="Q120" s="104"/>
      <c r="R120" s="89"/>
      <c r="S120" s="89"/>
      <c r="T120" s="89"/>
      <c r="U120" s="25"/>
      <c r="V120" s="119"/>
      <c r="W120" s="19"/>
      <c r="X120" s="104"/>
      <c r="Y120" s="104"/>
      <c r="Z120" s="104"/>
      <c r="AA120" s="19"/>
      <c r="AB120" s="160" t="str">
        <f>IF(OR(AA120="",G120=""),"",VLOOKUP(G120,'Rating Factors'!$C:$E,3,FALSE)*AA120)</f>
        <v/>
      </c>
      <c r="AC120" s="20"/>
      <c r="AD120" s="20"/>
      <c r="AE120" s="104"/>
      <c r="AF120" s="96"/>
      <c r="AG120" s="20"/>
      <c r="AH120" s="119"/>
      <c r="AI120" s="19"/>
      <c r="AJ120" s="19"/>
      <c r="AK120" s="19"/>
      <c r="AL120" s="96"/>
      <c r="AM120" s="119"/>
      <c r="AN120" s="19"/>
      <c r="AO120" s="20"/>
      <c r="AP120" s="119"/>
      <c r="AQ120" s="115">
        <f t="shared" si="17"/>
        <v>0</v>
      </c>
      <c r="AR120" s="171">
        <f>IF(OR(Z120="",N(Z120)=0),
IF(
N(H120)+N(I120)=0,
0,
MAX(
IFERROR(VLOOKUP(AE120,'Rating Factors'!$BJ:$BK,2,FALSE),0),
((N(H120)*'Rating Factors'!$BF$2)+(N(I120)*'Rating Factors'!$BG$2))
*IFERROR(VLOOKUP(AE120,'Rating Factors'!$Z:$AA,2,FALSE),1)
*IFERROR(VLOOKUP(AJ120,'Rating Factors'!$AD:$AE,2,FALSE),1)
*IFERROR(VLOOKUP(SUM($H$8:$H$127),'Rating Factors'!$BM:$BN,2),1)
*IFERROR(VLOOKUP(SUM($I$8:$I$127),'Rating Factors'!$BH:$BI,2),1)
)
),
MAX(IFERROR(VLOOKUP(AE120,'Rating Factors'!$BJ:$BL,3,FALSE),0),
((N(I120)*'Rating Factors'!$BG$2))
*IFERROR(VLOOKUP(AE120,'Rating Factors'!$Z:$AA,2,FALSE),1)
*IFERROR(VLOOKUP(AJ120,'Rating Factors'!$AD:$AE,2,FALSE),1)
*N(AA120)* IFERROR(VLOOKUP(G120,'Rating Factors'!$C:$D,2,FALSE),1)*0.0045
))</f>
        <v>0</v>
      </c>
      <c r="AS120" s="172">
        <f t="shared" si="18"/>
        <v>0</v>
      </c>
      <c r="AT120" s="115">
        <f t="shared" si="19"/>
        <v>0</v>
      </c>
      <c r="AU120" s="173" t="str">
        <f t="shared" si="20"/>
        <v/>
      </c>
      <c r="AV120" s="174" t="str">
        <f t="shared" si="21"/>
        <v/>
      </c>
      <c r="AW120" s="119"/>
      <c r="AX120" s="141">
        <f>IF(
  OR(
    IFERROR(VLOOKUP(F120,'Rating Factors'!$A:$B,2,FALSE)="Decline",FALSE),
    IFERROR(VLOOKUP(G120,'Rating Factors'!$C:$D,2,FALSE)="Decline",FALSE),
    IFERROR(VLOOKUP(J120,'Rating Factors'!$F:$G,2,FALSE)="Decline",FALSE),
    IFERROR(VLOOKUP(K120,'Rating Factors'!$H:$I,2,FALSE)="Decline",FALSE),
    IFERROR(VLOOKUP(L120,'Rating Factors'!$J:$K,2,FALSE)="Decline",FALSE),
    IFERROR(VLOOKUP(M120,'Rating Factors'!$L:$M,2,FALSE)="Decline",FALSE),
    IFERROR(VLOOKUP(N120,'Rating Factors'!$N:$O,2,FALSE)="Decline",FALSE),
    IFERROR(VLOOKUP(O120,'Rating Factors'!$P:$Q,2,FALSE)="Decline",FALSE),
    IFERROR(VLOOKUP(P120,'Rating Factors'!$BO:$BP,2,FALSE)="Decline",FALSE),
    IFERROR(VLOOKUP(Q120,'Rating Factors'!$BQ:$BR,2,FALSE)="Decline",FALSE),
    IFERROR(VLOOKUP(R120,'Rating Factors'!$R:$S,2,FALSE)="Decline",FALSE),
    IFERROR(VLOOKUP(S120,'Rating Factors'!$T:$U,2,FALSE)="Decline",FALSE),
    IFERROR(VLOOKUP(T120,'Rating Factors'!$V:$W,2,FALSE)="Decline",FALSE),
    IFERROR(VLOOKUP(U120,'Rating Factors'!$X:$Y,2,FALSE)="Decline",FALSE),
    IFERROR(VLOOKUP(AI120,'Rating Factors'!$AB:$AC,2,FALSE)="Decline",FALSE),
    IFERROR(VLOOKUP(AK120,'Rating Factors'!$AK:$AL,2,FALSE)="Decline",FALSE),
    IFERROR(VLOOKUP(AL120,'Rating Factors'!$AP:$AQ,2,FALSE)="Decline",FALSE)
  ),
  "Declined",
  SUM(
    W120,
    X120,
    Y120*
      IFERROR(VLOOKUP(AD120,'Rating Factors'!$BS:$BT,2,FALSE),1),
    Z120*
      IFERROR(VLOOKUP(AD120,'Rating Factors'!$BS:$BT,2,FALSE),1)*
      IFERROR(VLOOKUP(AC120,'Rating Factors'!$BV:$BW,2,FALSE),1),
  )
  * IFERROR(VLOOKUP(F120,'Rating Factors'!$A:$B,2,FALSE),1)
  * IFERROR(VLOOKUP(G120,'Rating Factors'!$C:$D,2,FALSE),1)
  * IFERROR(VLOOKUP(J120,'Rating Factors'!$F:$G,2,FALSE),1)
  * IFERROR(VLOOKUP(K120,'Rating Factors'!$H:$I,2,FALSE),1)
  * IFERROR(VLOOKUP(L120,'Rating Factors'!$J:$K,2,FALSE),1)
  * IFERROR(VLOOKUP(M120,'Rating Factors'!$L:$M,2,FALSE),1)
  * IFERROR(VLOOKUP(N120,'Rating Factors'!$N:$O,2,FALSE),1)
  * IFERROR(VLOOKUP(O120,'Rating Factors'!$P:$Q,2,FALSE),1)
  * IFERROR(VLOOKUP(P120,'Rating Factors'!$BO:$BP,2,FALSE),1)
  * IFERROR(VLOOKUP(Q120,'Rating Factors'!$BQ:$BR,2,FALSE),1)
  * IFERROR(VLOOKUP(R120,'Rating Factors'!$R:$S,2,FALSE),1)
  * IFERROR(VLOOKUP(S120,'Rating Factors'!$T:$U,2,FALSE),1)
  * IFERROR(VLOOKUP(T120,'Rating Factors'!$V:$W,2,FALSE),1)
  * IFERROR(VLOOKUP(U120,'Rating Factors'!$X:$Y,2,FALSE),1)
  * IFERROR(VLOOKUP(AI120,'Rating Factors'!$AB:$AC,2,FALSE),1)
  * IFERROR(VLOOKUP(AK120,'Rating Factors'!$AK:$AL,2,FALSE),1)
  * IFERROR(VLOOKUP(AL120,'Rating Factors'!$AP:$AQ,2,FALSE),1)
  * IFERROR(LOOKUP(SUM($W$8:$Z$127),'Rating Factors'!$BD:$BD,'Rating Factors'!$BE:$BE),1))</f>
        <v>0</v>
      </c>
      <c r="AY120" s="158">
        <f>IF(OR(AQ120="Declined", AN120&lt;&gt;"Y"),
   0,
   N(AT120)*N('Rating Factors'!$AG$2)/100
)</f>
        <v>0</v>
      </c>
      <c r="AZ120" s="158">
        <f t="shared" si="29"/>
        <v>0</v>
      </c>
      <c r="BA120" s="142">
        <f>_xlfn.LET(
  _xlpm.base_ok, AND(AQ120&lt;&gt;"Declined", N(AQ120)&gt;0),
  _xlpm.is_full, EXACT(AG120, "Full Limit"),
  _xlpm.total_tiv, SUM($AT$8:$AT$127),
  _xlpm.loc_tiv, N(BE120),
  _xlpm.full_rate, N('Rating Factors'!$AO$10),
  _xlpm.min_per_loc, N('Rating Factors'!$AN$10),
  _xlpm.n_locs, N(E117),
  _xlpm.sched_prem, MAX(_xlpm.total_tiv*_xlpm.full_rate, _xlpm.min_per_loc*_xlpm.n_locs),
  _xlpm.alloc_prem, IF(_xlpm.total_tiv=0, 0, _xlpm.sched_prem * _xlpm.loc_tiv / _xlpm.total_tiv),
  _xlpm.cap_prem, IFERROR(VLOOKUP(AG120, 'Rating Factors'!$AM:$AN, 2, FALSE), 0),
  IF(_xlpm.base_ok,
     IF(_xlpm.is_full, _xlpm.alloc_prem, _xlpm.cap_prem),
     0
  )
)</f>
        <v>0</v>
      </c>
      <c r="BB120" s="143">
        <f t="shared" si="27"/>
        <v>0</v>
      </c>
      <c r="BC120" s="144">
        <f t="shared" si="23"/>
        <v>0</v>
      </c>
      <c r="BD120" s="145">
        <f t="shared" si="24"/>
        <v>0</v>
      </c>
      <c r="BE120" s="115">
        <f t="shared" si="28"/>
        <v>0</v>
      </c>
      <c r="BF120" s="106" t="str">
        <f t="shared" si="25"/>
        <v/>
      </c>
      <c r="BG120"/>
      <c r="BI120" s="67" t="str" cm="1">
        <f t="array" ref="BI120">IF(E120="","",LEFT(_xlfn.REGEXEXTRACT(UPPER(E120),"[A-Z][0-9][A-Z][ -]?[0-9][A-Z][0-9]"),3))</f>
        <v/>
      </c>
      <c r="BJ120" s="66" t="str">
        <f>IF(E120="","",_xlfn.XLOOKUP(BI120, CrestaP!B:B, CrestaP!D:D, ""))</f>
        <v/>
      </c>
      <c r="BK120" s="66" t="str">
        <f>IFERROR(
  INDEX(
    CrestaP!H4:M9,
    MATCH(J120, {"Frame","Brick Veneer","Joisted Masonry","Non-Combustible","Masonry Non-Combustible","Fire resistive"}, 0),
    MATCH(TEXT(BJ120,"@"), {"16","E5","E4","E3","E2","E1"}, 0)
  ),
  ""
)</f>
        <v/>
      </c>
    </row>
    <row r="121" spans="2:63" hidden="1" x14ac:dyDescent="0.25">
      <c r="B121"/>
      <c r="C121" s="24">
        <f t="shared" si="26"/>
        <v>114</v>
      </c>
      <c r="D121" s="25" t="s">
        <v>30</v>
      </c>
      <c r="E121" s="175"/>
      <c r="F121" s="89"/>
      <c r="G121" s="89"/>
      <c r="H121" s="104"/>
      <c r="I121" s="104"/>
      <c r="J121" s="89"/>
      <c r="K121" s="89"/>
      <c r="L121" s="89"/>
      <c r="M121" s="89"/>
      <c r="N121" s="89"/>
      <c r="O121" s="89"/>
      <c r="P121" s="104"/>
      <c r="Q121" s="104"/>
      <c r="R121" s="89"/>
      <c r="S121" s="89"/>
      <c r="T121" s="89"/>
      <c r="U121" s="25"/>
      <c r="V121" s="119"/>
      <c r="W121" s="19"/>
      <c r="X121" s="104"/>
      <c r="Y121" s="104"/>
      <c r="Z121" s="104"/>
      <c r="AA121" s="19"/>
      <c r="AB121" s="160" t="str">
        <f>IF(OR(AA121="",G121=""),"",VLOOKUP(G121,'Rating Factors'!$C:$E,3,FALSE)*AA121)</f>
        <v/>
      </c>
      <c r="AC121" s="20"/>
      <c r="AD121" s="20"/>
      <c r="AE121" s="104"/>
      <c r="AF121" s="96"/>
      <c r="AG121" s="20"/>
      <c r="AH121" s="119"/>
      <c r="AI121" s="19"/>
      <c r="AJ121" s="19"/>
      <c r="AK121" s="19"/>
      <c r="AL121" s="96"/>
      <c r="AM121" s="119"/>
      <c r="AN121" s="19"/>
      <c r="AO121" s="20"/>
      <c r="AP121" s="119"/>
      <c r="AQ121" s="115">
        <f t="shared" si="17"/>
        <v>0</v>
      </c>
      <c r="AR121" s="171">
        <f>IF(OR(Z121="",N(Z121)=0),
IF(
N(H121)+N(I121)=0,
0,
MAX(
IFERROR(VLOOKUP(AE121,'Rating Factors'!$BJ:$BK,2,FALSE),0),
((N(H121)*'Rating Factors'!$BF$2)+(N(I121)*'Rating Factors'!$BG$2))
*IFERROR(VLOOKUP(AE121,'Rating Factors'!$Z:$AA,2,FALSE),1)
*IFERROR(VLOOKUP(AJ121,'Rating Factors'!$AD:$AE,2,FALSE),1)
*IFERROR(VLOOKUP(SUM($H$8:$H$127),'Rating Factors'!$BM:$BN,2),1)
*IFERROR(VLOOKUP(SUM($I$8:$I$127),'Rating Factors'!$BH:$BI,2),1)
)
),
MAX(IFERROR(VLOOKUP(AE121,'Rating Factors'!$BJ:$BL,3,FALSE),0),
((N(I121)*'Rating Factors'!$BG$2))
*IFERROR(VLOOKUP(AE121,'Rating Factors'!$Z:$AA,2,FALSE),1)
*IFERROR(VLOOKUP(AJ121,'Rating Factors'!$AD:$AE,2,FALSE),1)
*N(AA121)* IFERROR(VLOOKUP(G121,'Rating Factors'!$C:$D,2,FALSE),1)*0.0045
))</f>
        <v>0</v>
      </c>
      <c r="AS121" s="172">
        <f t="shared" si="18"/>
        <v>0</v>
      </c>
      <c r="AT121" s="115">
        <f t="shared" si="19"/>
        <v>0</v>
      </c>
      <c r="AU121" s="173" t="str">
        <f t="shared" si="20"/>
        <v/>
      </c>
      <c r="AV121" s="174" t="str">
        <f t="shared" si="21"/>
        <v/>
      </c>
      <c r="AW121" s="119"/>
      <c r="AX121" s="141">
        <f>IF(
  OR(
    IFERROR(VLOOKUP(F121,'Rating Factors'!$A:$B,2,FALSE)="Decline",FALSE),
    IFERROR(VLOOKUP(G121,'Rating Factors'!$C:$D,2,FALSE)="Decline",FALSE),
    IFERROR(VLOOKUP(J121,'Rating Factors'!$F:$G,2,FALSE)="Decline",FALSE),
    IFERROR(VLOOKUP(K121,'Rating Factors'!$H:$I,2,FALSE)="Decline",FALSE),
    IFERROR(VLOOKUP(L121,'Rating Factors'!$J:$K,2,FALSE)="Decline",FALSE),
    IFERROR(VLOOKUP(M121,'Rating Factors'!$L:$M,2,FALSE)="Decline",FALSE),
    IFERROR(VLOOKUP(N121,'Rating Factors'!$N:$O,2,FALSE)="Decline",FALSE),
    IFERROR(VLOOKUP(O121,'Rating Factors'!$P:$Q,2,FALSE)="Decline",FALSE),
    IFERROR(VLOOKUP(P121,'Rating Factors'!$BO:$BP,2,FALSE)="Decline",FALSE),
    IFERROR(VLOOKUP(Q121,'Rating Factors'!$BQ:$BR,2,FALSE)="Decline",FALSE),
    IFERROR(VLOOKUP(R121,'Rating Factors'!$R:$S,2,FALSE)="Decline",FALSE),
    IFERROR(VLOOKUP(S121,'Rating Factors'!$T:$U,2,FALSE)="Decline",FALSE),
    IFERROR(VLOOKUP(T121,'Rating Factors'!$V:$W,2,FALSE)="Decline",FALSE),
    IFERROR(VLOOKUP(U121,'Rating Factors'!$X:$Y,2,FALSE)="Decline",FALSE),
    IFERROR(VLOOKUP(AI121,'Rating Factors'!$AB:$AC,2,FALSE)="Decline",FALSE),
    IFERROR(VLOOKUP(AK121,'Rating Factors'!$AK:$AL,2,FALSE)="Decline",FALSE),
    IFERROR(VLOOKUP(AL121,'Rating Factors'!$AP:$AQ,2,FALSE)="Decline",FALSE)
  ),
  "Declined",
  SUM(
    W121,
    X121,
    Y121*
      IFERROR(VLOOKUP(AD121,'Rating Factors'!$BS:$BT,2,FALSE),1),
    Z121*
      IFERROR(VLOOKUP(AD121,'Rating Factors'!$BS:$BT,2,FALSE),1)*
      IFERROR(VLOOKUP(AC121,'Rating Factors'!$BV:$BW,2,FALSE),1),
  )
  * IFERROR(VLOOKUP(F121,'Rating Factors'!$A:$B,2,FALSE),1)
  * IFERROR(VLOOKUP(G121,'Rating Factors'!$C:$D,2,FALSE),1)
  * IFERROR(VLOOKUP(J121,'Rating Factors'!$F:$G,2,FALSE),1)
  * IFERROR(VLOOKUP(K121,'Rating Factors'!$H:$I,2,FALSE),1)
  * IFERROR(VLOOKUP(L121,'Rating Factors'!$J:$K,2,FALSE),1)
  * IFERROR(VLOOKUP(M121,'Rating Factors'!$L:$M,2,FALSE),1)
  * IFERROR(VLOOKUP(N121,'Rating Factors'!$N:$O,2,FALSE),1)
  * IFERROR(VLOOKUP(O121,'Rating Factors'!$P:$Q,2,FALSE),1)
  * IFERROR(VLOOKUP(P121,'Rating Factors'!$BO:$BP,2,FALSE),1)
  * IFERROR(VLOOKUP(Q121,'Rating Factors'!$BQ:$BR,2,FALSE),1)
  * IFERROR(VLOOKUP(R121,'Rating Factors'!$R:$S,2,FALSE),1)
  * IFERROR(VLOOKUP(S121,'Rating Factors'!$T:$U,2,FALSE),1)
  * IFERROR(VLOOKUP(T121,'Rating Factors'!$V:$W,2,FALSE),1)
  * IFERROR(VLOOKUP(U121,'Rating Factors'!$X:$Y,2,FALSE),1)
  * IFERROR(VLOOKUP(AI121,'Rating Factors'!$AB:$AC,2,FALSE),1)
  * IFERROR(VLOOKUP(AK121,'Rating Factors'!$AK:$AL,2,FALSE),1)
  * IFERROR(VLOOKUP(AL121,'Rating Factors'!$AP:$AQ,2,FALSE),1)
  * IFERROR(LOOKUP(SUM($W$8:$Z$127),'Rating Factors'!$BD:$BD,'Rating Factors'!$BE:$BE),1))</f>
        <v>0</v>
      </c>
      <c r="AY121" s="158">
        <f>IF(OR(AQ121="Declined", AN121&lt;&gt;"Y"),
   0,
   N(AT121)*N('Rating Factors'!$AG$2)/100
)</f>
        <v>0</v>
      </c>
      <c r="AZ121" s="158">
        <f t="shared" si="29"/>
        <v>0</v>
      </c>
      <c r="BA121" s="142">
        <f>_xlfn.LET(
  _xlpm.base_ok, AND(AQ121&lt;&gt;"Declined", N(AQ121)&gt;0),
  _xlpm.is_full, EXACT(AG121, "Full Limit"),
  _xlpm.total_tiv, SUM($AT$8:$AT$127),
  _xlpm.loc_tiv, N(BE121),
  _xlpm.full_rate, N('Rating Factors'!$AO$10),
  _xlpm.min_per_loc, N('Rating Factors'!$AN$10),
  _xlpm.n_locs, N(E118),
  _xlpm.sched_prem, MAX(_xlpm.total_tiv*_xlpm.full_rate, _xlpm.min_per_loc*_xlpm.n_locs),
  _xlpm.alloc_prem, IF(_xlpm.total_tiv=0, 0, _xlpm.sched_prem * _xlpm.loc_tiv / _xlpm.total_tiv),
  _xlpm.cap_prem, IFERROR(VLOOKUP(AG121, 'Rating Factors'!$AM:$AN, 2, FALSE), 0),
  IF(_xlpm.base_ok,
     IF(_xlpm.is_full, _xlpm.alloc_prem, _xlpm.cap_prem),
     0
  )
)</f>
        <v>0</v>
      </c>
      <c r="BB121" s="143">
        <f t="shared" si="27"/>
        <v>0</v>
      </c>
      <c r="BC121" s="144">
        <f t="shared" si="23"/>
        <v>0</v>
      </c>
      <c r="BD121" s="145">
        <f t="shared" si="24"/>
        <v>0</v>
      </c>
      <c r="BE121" s="115">
        <f t="shared" si="28"/>
        <v>0</v>
      </c>
      <c r="BF121" s="106" t="str">
        <f t="shared" si="25"/>
        <v/>
      </c>
      <c r="BG121"/>
      <c r="BI121" s="67" t="str" cm="1">
        <f t="array" ref="BI121">IF(E121="","",LEFT(_xlfn.REGEXEXTRACT(UPPER(E121),"[A-Z][0-9][A-Z][ -]?[0-9][A-Z][0-9]"),3))</f>
        <v/>
      </c>
      <c r="BJ121" s="66" t="str">
        <f>IF(E121="","",_xlfn.XLOOKUP(BI121, CrestaP!B:B, CrestaP!D:D, ""))</f>
        <v/>
      </c>
      <c r="BK121" s="66" t="str">
        <f>IFERROR(
  INDEX(
    CrestaP!H4:M9,
    MATCH(J121, {"Frame","Brick Veneer","Joisted Masonry","Non-Combustible","Masonry Non-Combustible","Fire resistive"}, 0),
    MATCH(TEXT(BJ121,"@"), {"16","E5","E4","E3","E2","E1"}, 0)
  ),
  ""
)</f>
        <v/>
      </c>
    </row>
    <row r="122" spans="2:63" hidden="1" x14ac:dyDescent="0.25">
      <c r="B122"/>
      <c r="C122" s="24">
        <f t="shared" si="26"/>
        <v>115</v>
      </c>
      <c r="D122" s="25" t="s">
        <v>30</v>
      </c>
      <c r="E122" s="175"/>
      <c r="F122" s="89"/>
      <c r="G122" s="89"/>
      <c r="H122" s="104"/>
      <c r="I122" s="104"/>
      <c r="J122" s="89"/>
      <c r="K122" s="89"/>
      <c r="L122" s="89"/>
      <c r="M122" s="89"/>
      <c r="N122" s="89"/>
      <c r="O122" s="89"/>
      <c r="P122" s="104"/>
      <c r="Q122" s="104"/>
      <c r="R122" s="89"/>
      <c r="S122" s="89"/>
      <c r="T122" s="89"/>
      <c r="U122" s="25"/>
      <c r="V122" s="119"/>
      <c r="W122" s="19"/>
      <c r="X122" s="104"/>
      <c r="Y122" s="104"/>
      <c r="Z122" s="104"/>
      <c r="AA122" s="19"/>
      <c r="AB122" s="160" t="str">
        <f>IF(OR(AA122="",G122=""),"",VLOOKUP(G122,'Rating Factors'!$C:$E,3,FALSE)*AA122)</f>
        <v/>
      </c>
      <c r="AC122" s="20"/>
      <c r="AD122" s="20"/>
      <c r="AE122" s="104"/>
      <c r="AF122" s="96"/>
      <c r="AG122" s="20"/>
      <c r="AH122" s="119"/>
      <c r="AI122" s="19"/>
      <c r="AJ122" s="19"/>
      <c r="AK122" s="19"/>
      <c r="AL122" s="96"/>
      <c r="AM122" s="119"/>
      <c r="AN122" s="19"/>
      <c r="AO122" s="20"/>
      <c r="AP122" s="119"/>
      <c r="AQ122" s="115">
        <f t="shared" si="17"/>
        <v>0</v>
      </c>
      <c r="AR122" s="171">
        <f>IF(OR(Z122="",N(Z122)=0),
IF(
N(H122)+N(I122)=0,
0,
MAX(
IFERROR(VLOOKUP(AE122,'Rating Factors'!$BJ:$BK,2,FALSE),0),
((N(H122)*'Rating Factors'!$BF$2)+(N(I122)*'Rating Factors'!$BG$2))
*IFERROR(VLOOKUP(AE122,'Rating Factors'!$Z:$AA,2,FALSE),1)
*IFERROR(VLOOKUP(AJ122,'Rating Factors'!$AD:$AE,2,FALSE),1)
*IFERROR(VLOOKUP(SUM($H$8:$H$127),'Rating Factors'!$BM:$BN,2),1)
*IFERROR(VLOOKUP(SUM($I$8:$I$127),'Rating Factors'!$BH:$BI,2),1)
)
),
MAX(IFERROR(VLOOKUP(AE122,'Rating Factors'!$BJ:$BL,3,FALSE),0),
((N(I122)*'Rating Factors'!$BG$2))
*IFERROR(VLOOKUP(AE122,'Rating Factors'!$Z:$AA,2,FALSE),1)
*IFERROR(VLOOKUP(AJ122,'Rating Factors'!$AD:$AE,2,FALSE),1)
*N(AA122)* IFERROR(VLOOKUP(G122,'Rating Factors'!$C:$D,2,FALSE),1)*0.0045
))</f>
        <v>0</v>
      </c>
      <c r="AS122" s="172">
        <f t="shared" si="18"/>
        <v>0</v>
      </c>
      <c r="AT122" s="115">
        <f t="shared" si="19"/>
        <v>0</v>
      </c>
      <c r="AU122" s="173" t="str">
        <f t="shared" si="20"/>
        <v/>
      </c>
      <c r="AV122" s="174" t="str">
        <f t="shared" si="21"/>
        <v/>
      </c>
      <c r="AW122" s="119"/>
      <c r="AX122" s="141">
        <f>IF(
  OR(
    IFERROR(VLOOKUP(F122,'Rating Factors'!$A:$B,2,FALSE)="Decline",FALSE),
    IFERROR(VLOOKUP(G122,'Rating Factors'!$C:$D,2,FALSE)="Decline",FALSE),
    IFERROR(VLOOKUP(J122,'Rating Factors'!$F:$G,2,FALSE)="Decline",FALSE),
    IFERROR(VLOOKUP(K122,'Rating Factors'!$H:$I,2,FALSE)="Decline",FALSE),
    IFERROR(VLOOKUP(L122,'Rating Factors'!$J:$K,2,FALSE)="Decline",FALSE),
    IFERROR(VLOOKUP(M122,'Rating Factors'!$L:$M,2,FALSE)="Decline",FALSE),
    IFERROR(VLOOKUP(N122,'Rating Factors'!$N:$O,2,FALSE)="Decline",FALSE),
    IFERROR(VLOOKUP(O122,'Rating Factors'!$P:$Q,2,FALSE)="Decline",FALSE),
    IFERROR(VLOOKUP(P122,'Rating Factors'!$BO:$BP,2,FALSE)="Decline",FALSE),
    IFERROR(VLOOKUP(Q122,'Rating Factors'!$BQ:$BR,2,FALSE)="Decline",FALSE),
    IFERROR(VLOOKUP(R122,'Rating Factors'!$R:$S,2,FALSE)="Decline",FALSE),
    IFERROR(VLOOKUP(S122,'Rating Factors'!$T:$U,2,FALSE)="Decline",FALSE),
    IFERROR(VLOOKUP(T122,'Rating Factors'!$V:$W,2,FALSE)="Decline",FALSE),
    IFERROR(VLOOKUP(U122,'Rating Factors'!$X:$Y,2,FALSE)="Decline",FALSE),
    IFERROR(VLOOKUP(AI122,'Rating Factors'!$AB:$AC,2,FALSE)="Decline",FALSE),
    IFERROR(VLOOKUP(AK122,'Rating Factors'!$AK:$AL,2,FALSE)="Decline",FALSE),
    IFERROR(VLOOKUP(AL122,'Rating Factors'!$AP:$AQ,2,FALSE)="Decline",FALSE)
  ),
  "Declined",
  SUM(
    W122,
    X122,
    Y122*
      IFERROR(VLOOKUP(AD122,'Rating Factors'!$BS:$BT,2,FALSE),1),
    Z122*
      IFERROR(VLOOKUP(AD122,'Rating Factors'!$BS:$BT,2,FALSE),1)*
      IFERROR(VLOOKUP(AC122,'Rating Factors'!$BV:$BW,2,FALSE),1),
  )
  * IFERROR(VLOOKUP(F122,'Rating Factors'!$A:$B,2,FALSE),1)
  * IFERROR(VLOOKUP(G122,'Rating Factors'!$C:$D,2,FALSE),1)
  * IFERROR(VLOOKUP(J122,'Rating Factors'!$F:$G,2,FALSE),1)
  * IFERROR(VLOOKUP(K122,'Rating Factors'!$H:$I,2,FALSE),1)
  * IFERROR(VLOOKUP(L122,'Rating Factors'!$J:$K,2,FALSE),1)
  * IFERROR(VLOOKUP(M122,'Rating Factors'!$L:$M,2,FALSE),1)
  * IFERROR(VLOOKUP(N122,'Rating Factors'!$N:$O,2,FALSE),1)
  * IFERROR(VLOOKUP(O122,'Rating Factors'!$P:$Q,2,FALSE),1)
  * IFERROR(VLOOKUP(P122,'Rating Factors'!$BO:$BP,2,FALSE),1)
  * IFERROR(VLOOKUP(Q122,'Rating Factors'!$BQ:$BR,2,FALSE),1)
  * IFERROR(VLOOKUP(R122,'Rating Factors'!$R:$S,2,FALSE),1)
  * IFERROR(VLOOKUP(S122,'Rating Factors'!$T:$U,2,FALSE),1)
  * IFERROR(VLOOKUP(T122,'Rating Factors'!$V:$W,2,FALSE),1)
  * IFERROR(VLOOKUP(U122,'Rating Factors'!$X:$Y,2,FALSE),1)
  * IFERROR(VLOOKUP(AI122,'Rating Factors'!$AB:$AC,2,FALSE),1)
  * IFERROR(VLOOKUP(AK122,'Rating Factors'!$AK:$AL,2,FALSE),1)
  * IFERROR(VLOOKUP(AL122,'Rating Factors'!$AP:$AQ,2,FALSE),1)
  * IFERROR(LOOKUP(SUM($W$8:$Z$127),'Rating Factors'!$BD:$BD,'Rating Factors'!$BE:$BE),1))</f>
        <v>0</v>
      </c>
      <c r="AY122" s="158">
        <f>IF(OR(AQ122="Declined", AN122&lt;&gt;"Y"),
   0,
   N(AT122)*N('Rating Factors'!$AG$2)/100
)</f>
        <v>0</v>
      </c>
      <c r="AZ122" s="158">
        <f t="shared" si="29"/>
        <v>0</v>
      </c>
      <c r="BA122" s="142">
        <f>_xlfn.LET(
  _xlpm.base_ok, AND(AQ122&lt;&gt;"Declined", N(AQ122)&gt;0),
  _xlpm.is_full, EXACT(AG122, "Full Limit"),
  _xlpm.total_tiv, SUM($AT$8:$AT$127),
  _xlpm.loc_tiv, N(BE122),
  _xlpm.full_rate, N('Rating Factors'!$AO$10),
  _xlpm.min_per_loc, N('Rating Factors'!$AN$10),
  _xlpm.n_locs, N(E119),
  _xlpm.sched_prem, MAX(_xlpm.total_tiv*_xlpm.full_rate, _xlpm.min_per_loc*_xlpm.n_locs),
  _xlpm.alloc_prem, IF(_xlpm.total_tiv=0, 0, _xlpm.sched_prem * _xlpm.loc_tiv / _xlpm.total_tiv),
  _xlpm.cap_prem, IFERROR(VLOOKUP(AG122, 'Rating Factors'!$AM:$AN, 2, FALSE), 0),
  IF(_xlpm.base_ok,
     IF(_xlpm.is_full, _xlpm.alloc_prem, _xlpm.cap_prem),
     0
  )
)</f>
        <v>0</v>
      </c>
      <c r="BB122" s="143">
        <f t="shared" si="27"/>
        <v>0</v>
      </c>
      <c r="BC122" s="144">
        <f t="shared" si="23"/>
        <v>0</v>
      </c>
      <c r="BD122" s="145">
        <f t="shared" si="24"/>
        <v>0</v>
      </c>
      <c r="BE122" s="115">
        <f t="shared" si="28"/>
        <v>0</v>
      </c>
      <c r="BF122" s="106" t="str">
        <f t="shared" si="25"/>
        <v/>
      </c>
      <c r="BG122"/>
      <c r="BI122" s="67" t="str" cm="1">
        <f t="array" ref="BI122">IF(E122="","",LEFT(_xlfn.REGEXEXTRACT(UPPER(E122),"[A-Z][0-9][A-Z][ -]?[0-9][A-Z][0-9]"),3))</f>
        <v/>
      </c>
      <c r="BJ122" s="66" t="str">
        <f>IF(E122="","",_xlfn.XLOOKUP(BI122, CrestaP!B:B, CrestaP!D:D, ""))</f>
        <v/>
      </c>
      <c r="BK122" s="66" t="str">
        <f>IFERROR(
  INDEX(
    CrestaP!H4:M9,
    MATCH(J122, {"Frame","Brick Veneer","Joisted Masonry","Non-Combustible","Masonry Non-Combustible","Fire resistive"}, 0),
    MATCH(TEXT(BJ122,"@"), {"16","E5","E4","E3","E2","E1"}, 0)
  ),
  ""
)</f>
        <v/>
      </c>
    </row>
    <row r="123" spans="2:63" hidden="1" x14ac:dyDescent="0.25">
      <c r="B123"/>
      <c r="C123" s="24">
        <f t="shared" si="26"/>
        <v>116</v>
      </c>
      <c r="D123" s="25" t="s">
        <v>30</v>
      </c>
      <c r="E123" s="175"/>
      <c r="F123" s="89"/>
      <c r="G123" s="89"/>
      <c r="H123" s="104"/>
      <c r="I123" s="104"/>
      <c r="J123" s="89"/>
      <c r="K123" s="89"/>
      <c r="L123" s="89"/>
      <c r="M123" s="89"/>
      <c r="N123" s="89"/>
      <c r="O123" s="89"/>
      <c r="P123" s="104"/>
      <c r="Q123" s="104"/>
      <c r="R123" s="89"/>
      <c r="S123" s="89"/>
      <c r="T123" s="89"/>
      <c r="U123" s="25"/>
      <c r="V123" s="119"/>
      <c r="W123" s="19"/>
      <c r="X123" s="104"/>
      <c r="Y123" s="104"/>
      <c r="Z123" s="104"/>
      <c r="AA123" s="19"/>
      <c r="AB123" s="160" t="str">
        <f>IF(OR(AA123="",G123=""),"",VLOOKUP(G123,'Rating Factors'!$C:$E,3,FALSE)*AA123)</f>
        <v/>
      </c>
      <c r="AC123" s="20"/>
      <c r="AD123" s="20"/>
      <c r="AE123" s="104"/>
      <c r="AF123" s="96"/>
      <c r="AG123" s="20"/>
      <c r="AH123" s="119"/>
      <c r="AI123" s="19"/>
      <c r="AJ123" s="19"/>
      <c r="AK123" s="19"/>
      <c r="AL123" s="96"/>
      <c r="AM123" s="119"/>
      <c r="AN123" s="19"/>
      <c r="AO123" s="20"/>
      <c r="AP123" s="119"/>
      <c r="AQ123" s="115">
        <f t="shared" si="17"/>
        <v>0</v>
      </c>
      <c r="AR123" s="171">
        <f>IF(OR(Z123="",N(Z123)=0),
IF(
N(H123)+N(I123)=0,
0,
MAX(
IFERROR(VLOOKUP(AE123,'Rating Factors'!$BJ:$BK,2,FALSE),0),
((N(H123)*'Rating Factors'!$BF$2)+(N(I123)*'Rating Factors'!$BG$2))
*IFERROR(VLOOKUP(AE123,'Rating Factors'!$Z:$AA,2,FALSE),1)
*IFERROR(VLOOKUP(AJ123,'Rating Factors'!$AD:$AE,2,FALSE),1)
*IFERROR(VLOOKUP(SUM($H$8:$H$127),'Rating Factors'!$BM:$BN,2),1)
*IFERROR(VLOOKUP(SUM($I$8:$I$127),'Rating Factors'!$BH:$BI,2),1)
)
),
MAX(IFERROR(VLOOKUP(AE123,'Rating Factors'!$BJ:$BL,3,FALSE),0),
((N(I123)*'Rating Factors'!$BG$2))
*IFERROR(VLOOKUP(AE123,'Rating Factors'!$Z:$AA,2,FALSE),1)
*IFERROR(VLOOKUP(AJ123,'Rating Factors'!$AD:$AE,2,FALSE),1)
*N(AA123)* IFERROR(VLOOKUP(G123,'Rating Factors'!$C:$D,2,FALSE),1)*0.0045
))</f>
        <v>0</v>
      </c>
      <c r="AS123" s="172">
        <f t="shared" si="18"/>
        <v>0</v>
      </c>
      <c r="AT123" s="115">
        <f t="shared" si="19"/>
        <v>0</v>
      </c>
      <c r="AU123" s="173" t="str">
        <f t="shared" si="20"/>
        <v/>
      </c>
      <c r="AV123" s="174" t="str">
        <f t="shared" si="21"/>
        <v/>
      </c>
      <c r="AW123" s="119"/>
      <c r="AX123" s="141">
        <f>IF(
  OR(
    IFERROR(VLOOKUP(F123,'Rating Factors'!$A:$B,2,FALSE)="Decline",FALSE),
    IFERROR(VLOOKUP(G123,'Rating Factors'!$C:$D,2,FALSE)="Decline",FALSE),
    IFERROR(VLOOKUP(J123,'Rating Factors'!$F:$G,2,FALSE)="Decline",FALSE),
    IFERROR(VLOOKUP(K123,'Rating Factors'!$H:$I,2,FALSE)="Decline",FALSE),
    IFERROR(VLOOKUP(L123,'Rating Factors'!$J:$K,2,FALSE)="Decline",FALSE),
    IFERROR(VLOOKUP(M123,'Rating Factors'!$L:$M,2,FALSE)="Decline",FALSE),
    IFERROR(VLOOKUP(N123,'Rating Factors'!$N:$O,2,FALSE)="Decline",FALSE),
    IFERROR(VLOOKUP(O123,'Rating Factors'!$P:$Q,2,FALSE)="Decline",FALSE),
    IFERROR(VLOOKUP(P123,'Rating Factors'!$BO:$BP,2,FALSE)="Decline",FALSE),
    IFERROR(VLOOKUP(Q123,'Rating Factors'!$BQ:$BR,2,FALSE)="Decline",FALSE),
    IFERROR(VLOOKUP(R123,'Rating Factors'!$R:$S,2,FALSE)="Decline",FALSE),
    IFERROR(VLOOKUP(S123,'Rating Factors'!$T:$U,2,FALSE)="Decline",FALSE),
    IFERROR(VLOOKUP(T123,'Rating Factors'!$V:$W,2,FALSE)="Decline",FALSE),
    IFERROR(VLOOKUP(U123,'Rating Factors'!$X:$Y,2,FALSE)="Decline",FALSE),
    IFERROR(VLOOKUP(AI123,'Rating Factors'!$AB:$AC,2,FALSE)="Decline",FALSE),
    IFERROR(VLOOKUP(AK123,'Rating Factors'!$AK:$AL,2,FALSE)="Decline",FALSE),
    IFERROR(VLOOKUP(AL123,'Rating Factors'!$AP:$AQ,2,FALSE)="Decline",FALSE)
  ),
  "Declined",
  SUM(
    W123,
    X123,
    Y123*
      IFERROR(VLOOKUP(AD123,'Rating Factors'!$BS:$BT,2,FALSE),1),
    Z123*
      IFERROR(VLOOKUP(AD123,'Rating Factors'!$BS:$BT,2,FALSE),1)*
      IFERROR(VLOOKUP(AC123,'Rating Factors'!$BV:$BW,2,FALSE),1),
  )
  * IFERROR(VLOOKUP(F123,'Rating Factors'!$A:$B,2,FALSE),1)
  * IFERROR(VLOOKUP(G123,'Rating Factors'!$C:$D,2,FALSE),1)
  * IFERROR(VLOOKUP(J123,'Rating Factors'!$F:$G,2,FALSE),1)
  * IFERROR(VLOOKUP(K123,'Rating Factors'!$H:$I,2,FALSE),1)
  * IFERROR(VLOOKUP(L123,'Rating Factors'!$J:$K,2,FALSE),1)
  * IFERROR(VLOOKUP(M123,'Rating Factors'!$L:$M,2,FALSE),1)
  * IFERROR(VLOOKUP(N123,'Rating Factors'!$N:$O,2,FALSE),1)
  * IFERROR(VLOOKUP(O123,'Rating Factors'!$P:$Q,2,FALSE),1)
  * IFERROR(VLOOKUP(P123,'Rating Factors'!$BO:$BP,2,FALSE),1)
  * IFERROR(VLOOKUP(Q123,'Rating Factors'!$BQ:$BR,2,FALSE),1)
  * IFERROR(VLOOKUP(R123,'Rating Factors'!$R:$S,2,FALSE),1)
  * IFERROR(VLOOKUP(S123,'Rating Factors'!$T:$U,2,FALSE),1)
  * IFERROR(VLOOKUP(T123,'Rating Factors'!$V:$W,2,FALSE),1)
  * IFERROR(VLOOKUP(U123,'Rating Factors'!$X:$Y,2,FALSE),1)
  * IFERROR(VLOOKUP(AI123,'Rating Factors'!$AB:$AC,2,FALSE),1)
  * IFERROR(VLOOKUP(AK123,'Rating Factors'!$AK:$AL,2,FALSE),1)
  * IFERROR(VLOOKUP(AL123,'Rating Factors'!$AP:$AQ,2,FALSE),1)
  * IFERROR(LOOKUP(SUM($W$8:$Z$127),'Rating Factors'!$BD:$BD,'Rating Factors'!$BE:$BE),1))</f>
        <v>0</v>
      </c>
      <c r="AY123" s="158">
        <f>IF(OR(AQ123="Declined", AN123&lt;&gt;"Y"),
   0,
   N(AT123)*N('Rating Factors'!$AG$2)/100
)</f>
        <v>0</v>
      </c>
      <c r="AZ123" s="158">
        <f t="shared" si="29"/>
        <v>0</v>
      </c>
      <c r="BA123" s="142">
        <f>_xlfn.LET(
  _xlpm.base_ok, AND(AQ123&lt;&gt;"Declined", N(AQ123)&gt;0),
  _xlpm.is_full, EXACT(AG123, "Full Limit"),
  _xlpm.total_tiv, SUM($AT$8:$AT$127),
  _xlpm.loc_tiv, N(BE123),
  _xlpm.full_rate, N('Rating Factors'!$AO$10),
  _xlpm.min_per_loc, N('Rating Factors'!$AN$10),
  _xlpm.n_locs, N(E120),
  _xlpm.sched_prem, MAX(_xlpm.total_tiv*_xlpm.full_rate, _xlpm.min_per_loc*_xlpm.n_locs),
  _xlpm.alloc_prem, IF(_xlpm.total_tiv=0, 0, _xlpm.sched_prem * _xlpm.loc_tiv / _xlpm.total_tiv),
  _xlpm.cap_prem, IFERROR(VLOOKUP(AG123, 'Rating Factors'!$AM:$AN, 2, FALSE), 0),
  IF(_xlpm.base_ok,
     IF(_xlpm.is_full, _xlpm.alloc_prem, _xlpm.cap_prem),
     0
  )
)</f>
        <v>0</v>
      </c>
      <c r="BB123" s="143">
        <f t="shared" si="27"/>
        <v>0</v>
      </c>
      <c r="BC123" s="144">
        <f t="shared" si="23"/>
        <v>0</v>
      </c>
      <c r="BD123" s="145">
        <f t="shared" si="24"/>
        <v>0</v>
      </c>
      <c r="BE123" s="115">
        <f t="shared" si="28"/>
        <v>0</v>
      </c>
      <c r="BF123" s="106" t="str">
        <f t="shared" si="25"/>
        <v/>
      </c>
      <c r="BG123"/>
      <c r="BI123" s="67" t="str" cm="1">
        <f t="array" ref="BI123">IF(E123="","",LEFT(_xlfn.REGEXEXTRACT(UPPER(E123),"[A-Z][0-9][A-Z][ -]?[0-9][A-Z][0-9]"),3))</f>
        <v/>
      </c>
      <c r="BJ123" s="66" t="str">
        <f>IF(E123="","",_xlfn.XLOOKUP(BI123, CrestaP!B:B, CrestaP!D:D, ""))</f>
        <v/>
      </c>
      <c r="BK123" s="66" t="str">
        <f>IFERROR(
  INDEX(
    CrestaP!H4:M9,
    MATCH(J123, {"Frame","Brick Veneer","Joisted Masonry","Non-Combustible","Masonry Non-Combustible","Fire resistive"}, 0),
    MATCH(TEXT(BJ123,"@"), {"16","E5","E4","E3","E2","E1"}, 0)
  ),
  ""
)</f>
        <v/>
      </c>
    </row>
    <row r="124" spans="2:63" hidden="1" x14ac:dyDescent="0.25">
      <c r="B124"/>
      <c r="C124" s="24">
        <f t="shared" si="26"/>
        <v>117</v>
      </c>
      <c r="D124" s="25" t="s">
        <v>30</v>
      </c>
      <c r="E124" s="175"/>
      <c r="F124" s="89"/>
      <c r="G124" s="89"/>
      <c r="H124" s="104"/>
      <c r="I124" s="104"/>
      <c r="J124" s="89"/>
      <c r="K124" s="89"/>
      <c r="L124" s="89"/>
      <c r="M124" s="89"/>
      <c r="N124" s="89"/>
      <c r="O124" s="89"/>
      <c r="P124" s="104"/>
      <c r="Q124" s="104"/>
      <c r="R124" s="89"/>
      <c r="S124" s="89"/>
      <c r="T124" s="89"/>
      <c r="U124" s="25"/>
      <c r="V124" s="119"/>
      <c r="W124" s="19"/>
      <c r="X124" s="104"/>
      <c r="Y124" s="104"/>
      <c r="Z124" s="104"/>
      <c r="AA124" s="19"/>
      <c r="AB124" s="160" t="str">
        <f>IF(OR(AA124="",G124=""),"",VLOOKUP(G124,'Rating Factors'!$C:$E,3,FALSE)*AA124)</f>
        <v/>
      </c>
      <c r="AC124" s="20"/>
      <c r="AD124" s="20"/>
      <c r="AE124" s="104"/>
      <c r="AF124" s="96"/>
      <c r="AG124" s="20"/>
      <c r="AH124" s="119"/>
      <c r="AI124" s="19"/>
      <c r="AJ124" s="19"/>
      <c r="AK124" s="19"/>
      <c r="AL124" s="96"/>
      <c r="AM124" s="119"/>
      <c r="AN124" s="19"/>
      <c r="AO124" s="20"/>
      <c r="AP124" s="119"/>
      <c r="AQ124" s="115">
        <f t="shared" si="17"/>
        <v>0</v>
      </c>
      <c r="AR124" s="171">
        <f>IF(OR(Z124="",N(Z124)=0),
IF(
N(H124)+N(I124)=0,
0,
MAX(
IFERROR(VLOOKUP(AE124,'Rating Factors'!$BJ:$BK,2,FALSE),0),
((N(H124)*'Rating Factors'!$BF$2)+(N(I124)*'Rating Factors'!$BG$2))
*IFERROR(VLOOKUP(AE124,'Rating Factors'!$Z:$AA,2,FALSE),1)
*IFERROR(VLOOKUP(AJ124,'Rating Factors'!$AD:$AE,2,FALSE),1)
*IFERROR(VLOOKUP(SUM($H$8:$H$127),'Rating Factors'!$BM:$BN,2),1)
*IFERROR(VLOOKUP(SUM($I$8:$I$127),'Rating Factors'!$BH:$BI,2),1)
)
),
MAX(IFERROR(VLOOKUP(AE124,'Rating Factors'!$BJ:$BL,3,FALSE),0),
((N(I124)*'Rating Factors'!$BG$2))
*IFERROR(VLOOKUP(AE124,'Rating Factors'!$Z:$AA,2,FALSE),1)
*IFERROR(VLOOKUP(AJ124,'Rating Factors'!$AD:$AE,2,FALSE),1)
*N(AA124)* IFERROR(VLOOKUP(G124,'Rating Factors'!$C:$D,2,FALSE),1)*0.0045
))</f>
        <v>0</v>
      </c>
      <c r="AS124" s="172">
        <f t="shared" si="18"/>
        <v>0</v>
      </c>
      <c r="AT124" s="115">
        <f t="shared" si="19"/>
        <v>0</v>
      </c>
      <c r="AU124" s="173" t="str">
        <f t="shared" si="20"/>
        <v/>
      </c>
      <c r="AV124" s="174" t="str">
        <f t="shared" si="21"/>
        <v/>
      </c>
      <c r="AW124" s="119"/>
      <c r="AX124" s="141">
        <f>IF(
  OR(
    IFERROR(VLOOKUP(F124,'Rating Factors'!$A:$B,2,FALSE)="Decline",FALSE),
    IFERROR(VLOOKUP(G124,'Rating Factors'!$C:$D,2,FALSE)="Decline",FALSE),
    IFERROR(VLOOKUP(J124,'Rating Factors'!$F:$G,2,FALSE)="Decline",FALSE),
    IFERROR(VLOOKUP(K124,'Rating Factors'!$H:$I,2,FALSE)="Decline",FALSE),
    IFERROR(VLOOKUP(L124,'Rating Factors'!$J:$K,2,FALSE)="Decline",FALSE),
    IFERROR(VLOOKUP(M124,'Rating Factors'!$L:$M,2,FALSE)="Decline",FALSE),
    IFERROR(VLOOKUP(N124,'Rating Factors'!$N:$O,2,FALSE)="Decline",FALSE),
    IFERROR(VLOOKUP(O124,'Rating Factors'!$P:$Q,2,FALSE)="Decline",FALSE),
    IFERROR(VLOOKUP(P124,'Rating Factors'!$BO:$BP,2,FALSE)="Decline",FALSE),
    IFERROR(VLOOKUP(Q124,'Rating Factors'!$BQ:$BR,2,FALSE)="Decline",FALSE),
    IFERROR(VLOOKUP(R124,'Rating Factors'!$R:$S,2,FALSE)="Decline",FALSE),
    IFERROR(VLOOKUP(S124,'Rating Factors'!$T:$U,2,FALSE)="Decline",FALSE),
    IFERROR(VLOOKUP(T124,'Rating Factors'!$V:$W,2,FALSE)="Decline",FALSE),
    IFERROR(VLOOKUP(U124,'Rating Factors'!$X:$Y,2,FALSE)="Decline",FALSE),
    IFERROR(VLOOKUP(AI124,'Rating Factors'!$AB:$AC,2,FALSE)="Decline",FALSE),
    IFERROR(VLOOKUP(AK124,'Rating Factors'!$AK:$AL,2,FALSE)="Decline",FALSE),
    IFERROR(VLOOKUP(AL124,'Rating Factors'!$AP:$AQ,2,FALSE)="Decline",FALSE)
  ),
  "Declined",
  SUM(
    W124,
    X124,
    Y124*
      IFERROR(VLOOKUP(AD124,'Rating Factors'!$BS:$BT,2,FALSE),1),
    Z124*
      IFERROR(VLOOKUP(AD124,'Rating Factors'!$BS:$BT,2,FALSE),1)*
      IFERROR(VLOOKUP(AC124,'Rating Factors'!$BV:$BW,2,FALSE),1),
  )
  * IFERROR(VLOOKUP(F124,'Rating Factors'!$A:$B,2,FALSE),1)
  * IFERROR(VLOOKUP(G124,'Rating Factors'!$C:$D,2,FALSE),1)
  * IFERROR(VLOOKUP(J124,'Rating Factors'!$F:$G,2,FALSE),1)
  * IFERROR(VLOOKUP(K124,'Rating Factors'!$H:$I,2,FALSE),1)
  * IFERROR(VLOOKUP(L124,'Rating Factors'!$J:$K,2,FALSE),1)
  * IFERROR(VLOOKUP(M124,'Rating Factors'!$L:$M,2,FALSE),1)
  * IFERROR(VLOOKUP(N124,'Rating Factors'!$N:$O,2,FALSE),1)
  * IFERROR(VLOOKUP(O124,'Rating Factors'!$P:$Q,2,FALSE),1)
  * IFERROR(VLOOKUP(P124,'Rating Factors'!$BO:$BP,2,FALSE),1)
  * IFERROR(VLOOKUP(Q124,'Rating Factors'!$BQ:$BR,2,FALSE),1)
  * IFERROR(VLOOKUP(R124,'Rating Factors'!$R:$S,2,FALSE),1)
  * IFERROR(VLOOKUP(S124,'Rating Factors'!$T:$U,2,FALSE),1)
  * IFERROR(VLOOKUP(T124,'Rating Factors'!$V:$W,2,FALSE),1)
  * IFERROR(VLOOKUP(U124,'Rating Factors'!$X:$Y,2,FALSE),1)
  * IFERROR(VLOOKUP(AI124,'Rating Factors'!$AB:$AC,2,FALSE),1)
  * IFERROR(VLOOKUP(AK124,'Rating Factors'!$AK:$AL,2,FALSE),1)
  * IFERROR(VLOOKUP(AL124,'Rating Factors'!$AP:$AQ,2,FALSE),1)
  * IFERROR(LOOKUP(SUM($W$8:$Z$127),'Rating Factors'!$BD:$BD,'Rating Factors'!$BE:$BE),1))</f>
        <v>0</v>
      </c>
      <c r="AY124" s="158">
        <f>IF(OR(AQ124="Declined", AN124&lt;&gt;"Y"),
   0,
   N(AT124)*N('Rating Factors'!$AG$2)/100
)</f>
        <v>0</v>
      </c>
      <c r="AZ124" s="158">
        <f t="shared" si="29"/>
        <v>0</v>
      </c>
      <c r="BA124" s="142">
        <f>_xlfn.LET(
  _xlpm.base_ok, AND(AQ124&lt;&gt;"Declined", N(AQ124)&gt;0),
  _xlpm.is_full, EXACT(AG124, "Full Limit"),
  _xlpm.total_tiv, SUM($AT$8:$AT$127),
  _xlpm.loc_tiv, N(BE124),
  _xlpm.full_rate, N('Rating Factors'!$AO$10),
  _xlpm.min_per_loc, N('Rating Factors'!$AN$10),
  _xlpm.n_locs, N(E121),
  _xlpm.sched_prem, MAX(_xlpm.total_tiv*_xlpm.full_rate, _xlpm.min_per_loc*_xlpm.n_locs),
  _xlpm.alloc_prem, IF(_xlpm.total_tiv=0, 0, _xlpm.sched_prem * _xlpm.loc_tiv / _xlpm.total_tiv),
  _xlpm.cap_prem, IFERROR(VLOOKUP(AG124, 'Rating Factors'!$AM:$AN, 2, FALSE), 0),
  IF(_xlpm.base_ok,
     IF(_xlpm.is_full, _xlpm.alloc_prem, _xlpm.cap_prem),
     0
  )
)</f>
        <v>0</v>
      </c>
      <c r="BB124" s="143">
        <f t="shared" si="27"/>
        <v>0</v>
      </c>
      <c r="BC124" s="144">
        <f t="shared" si="23"/>
        <v>0</v>
      </c>
      <c r="BD124" s="145">
        <f t="shared" si="24"/>
        <v>0</v>
      </c>
      <c r="BE124" s="115">
        <f t="shared" si="28"/>
        <v>0</v>
      </c>
      <c r="BF124" s="106" t="str">
        <f t="shared" si="25"/>
        <v/>
      </c>
      <c r="BG124"/>
      <c r="BI124" s="67" t="str" cm="1">
        <f t="array" ref="BI124">IF(E124="","",LEFT(_xlfn.REGEXEXTRACT(UPPER(E124),"[A-Z][0-9][A-Z][ -]?[0-9][A-Z][0-9]"),3))</f>
        <v/>
      </c>
      <c r="BJ124" s="66" t="str">
        <f>IF(E124="","",_xlfn.XLOOKUP(BI124, CrestaP!B:B, CrestaP!D:D, ""))</f>
        <v/>
      </c>
      <c r="BK124" s="66" t="str">
        <f>IFERROR(
  INDEX(
    CrestaP!H4:M9,
    MATCH(J124, {"Frame","Brick Veneer","Joisted Masonry","Non-Combustible","Masonry Non-Combustible","Fire resistive"}, 0),
    MATCH(TEXT(BJ124,"@"), {"16","E5","E4","E3","E2","E1"}, 0)
  ),
  ""
)</f>
        <v/>
      </c>
    </row>
    <row r="125" spans="2:63" hidden="1" x14ac:dyDescent="0.25">
      <c r="B125"/>
      <c r="C125" s="24">
        <f t="shared" si="26"/>
        <v>118</v>
      </c>
      <c r="D125" s="25" t="s">
        <v>30</v>
      </c>
      <c r="E125" s="175"/>
      <c r="F125" s="89"/>
      <c r="G125" s="89"/>
      <c r="H125" s="104"/>
      <c r="I125" s="104"/>
      <c r="J125" s="89"/>
      <c r="K125" s="89"/>
      <c r="L125" s="89"/>
      <c r="M125" s="89"/>
      <c r="N125" s="89"/>
      <c r="O125" s="89"/>
      <c r="P125" s="104"/>
      <c r="Q125" s="104"/>
      <c r="R125" s="89"/>
      <c r="S125" s="89"/>
      <c r="T125" s="89"/>
      <c r="U125" s="25"/>
      <c r="V125" s="119"/>
      <c r="W125" s="19"/>
      <c r="X125" s="104"/>
      <c r="Y125" s="104"/>
      <c r="Z125" s="104"/>
      <c r="AA125" s="19"/>
      <c r="AB125" s="160" t="str">
        <f>IF(OR(AA125="",G125=""),"",VLOOKUP(G125,'Rating Factors'!$C:$E,3,FALSE)*AA125)</f>
        <v/>
      </c>
      <c r="AC125" s="20"/>
      <c r="AD125" s="20"/>
      <c r="AE125" s="104"/>
      <c r="AF125" s="96"/>
      <c r="AG125" s="20"/>
      <c r="AH125" s="119"/>
      <c r="AI125" s="19"/>
      <c r="AJ125" s="19"/>
      <c r="AK125" s="19"/>
      <c r="AL125" s="96"/>
      <c r="AM125" s="119"/>
      <c r="AN125" s="19"/>
      <c r="AO125" s="20"/>
      <c r="AP125" s="119"/>
      <c r="AQ125" s="115">
        <f t="shared" si="17"/>
        <v>0</v>
      </c>
      <c r="AR125" s="171">
        <f>IF(OR(Z125="",N(Z125)=0),
IF(
N(H125)+N(I125)=0,
0,
MAX(
IFERROR(VLOOKUP(AE125,'Rating Factors'!$BJ:$BK,2,FALSE),0),
((N(H125)*'Rating Factors'!$BF$2)+(N(I125)*'Rating Factors'!$BG$2))
*IFERROR(VLOOKUP(AE125,'Rating Factors'!$Z:$AA,2,FALSE),1)
*IFERROR(VLOOKUP(AJ125,'Rating Factors'!$AD:$AE,2,FALSE),1)
*IFERROR(VLOOKUP(SUM($H$8:$H$127),'Rating Factors'!$BM:$BN,2),1)
*IFERROR(VLOOKUP(SUM($I$8:$I$127),'Rating Factors'!$BH:$BI,2),1)
)
),
MAX(IFERROR(VLOOKUP(AE125,'Rating Factors'!$BJ:$BL,3,FALSE),0),
((N(I125)*'Rating Factors'!$BG$2))
*IFERROR(VLOOKUP(AE125,'Rating Factors'!$Z:$AA,2,FALSE),1)
*IFERROR(VLOOKUP(AJ125,'Rating Factors'!$AD:$AE,2,FALSE),1)
*N(AA125)* IFERROR(VLOOKUP(G125,'Rating Factors'!$C:$D,2,FALSE),1)*0.0045
))</f>
        <v>0</v>
      </c>
      <c r="AS125" s="172">
        <f t="shared" si="18"/>
        <v>0</v>
      </c>
      <c r="AT125" s="115">
        <f t="shared" si="19"/>
        <v>0</v>
      </c>
      <c r="AU125" s="173" t="str">
        <f t="shared" si="20"/>
        <v/>
      </c>
      <c r="AV125" s="174" t="str">
        <f t="shared" si="21"/>
        <v/>
      </c>
      <c r="AW125" s="119"/>
      <c r="AX125" s="141">
        <f>IF(
  OR(
    IFERROR(VLOOKUP(F125,'Rating Factors'!$A:$B,2,FALSE)="Decline",FALSE),
    IFERROR(VLOOKUP(G125,'Rating Factors'!$C:$D,2,FALSE)="Decline",FALSE),
    IFERROR(VLOOKUP(J125,'Rating Factors'!$F:$G,2,FALSE)="Decline",FALSE),
    IFERROR(VLOOKUP(K125,'Rating Factors'!$H:$I,2,FALSE)="Decline",FALSE),
    IFERROR(VLOOKUP(L125,'Rating Factors'!$J:$K,2,FALSE)="Decline",FALSE),
    IFERROR(VLOOKUP(M125,'Rating Factors'!$L:$M,2,FALSE)="Decline",FALSE),
    IFERROR(VLOOKUP(N125,'Rating Factors'!$N:$O,2,FALSE)="Decline",FALSE),
    IFERROR(VLOOKUP(O125,'Rating Factors'!$P:$Q,2,FALSE)="Decline",FALSE),
    IFERROR(VLOOKUP(P125,'Rating Factors'!$BO:$BP,2,FALSE)="Decline",FALSE),
    IFERROR(VLOOKUP(Q125,'Rating Factors'!$BQ:$BR,2,FALSE)="Decline",FALSE),
    IFERROR(VLOOKUP(R125,'Rating Factors'!$R:$S,2,FALSE)="Decline",FALSE),
    IFERROR(VLOOKUP(S125,'Rating Factors'!$T:$U,2,FALSE)="Decline",FALSE),
    IFERROR(VLOOKUP(T125,'Rating Factors'!$V:$W,2,FALSE)="Decline",FALSE),
    IFERROR(VLOOKUP(U125,'Rating Factors'!$X:$Y,2,FALSE)="Decline",FALSE),
    IFERROR(VLOOKUP(AI125,'Rating Factors'!$AB:$AC,2,FALSE)="Decline",FALSE),
    IFERROR(VLOOKUP(AK125,'Rating Factors'!$AK:$AL,2,FALSE)="Decline",FALSE),
    IFERROR(VLOOKUP(AL125,'Rating Factors'!$AP:$AQ,2,FALSE)="Decline",FALSE)
  ),
  "Declined",
  SUM(
    W125,
    X125,
    Y125*
      IFERROR(VLOOKUP(AD125,'Rating Factors'!$BS:$BT,2,FALSE),1),
    Z125*
      IFERROR(VLOOKUP(AD125,'Rating Factors'!$BS:$BT,2,FALSE),1)*
      IFERROR(VLOOKUP(AC125,'Rating Factors'!$BV:$BW,2,FALSE),1),
  )
  * IFERROR(VLOOKUP(F125,'Rating Factors'!$A:$B,2,FALSE),1)
  * IFERROR(VLOOKUP(G125,'Rating Factors'!$C:$D,2,FALSE),1)
  * IFERROR(VLOOKUP(J125,'Rating Factors'!$F:$G,2,FALSE),1)
  * IFERROR(VLOOKUP(K125,'Rating Factors'!$H:$I,2,FALSE),1)
  * IFERROR(VLOOKUP(L125,'Rating Factors'!$J:$K,2,FALSE),1)
  * IFERROR(VLOOKUP(M125,'Rating Factors'!$L:$M,2,FALSE),1)
  * IFERROR(VLOOKUP(N125,'Rating Factors'!$N:$O,2,FALSE),1)
  * IFERROR(VLOOKUP(O125,'Rating Factors'!$P:$Q,2,FALSE),1)
  * IFERROR(VLOOKUP(P125,'Rating Factors'!$BO:$BP,2,FALSE),1)
  * IFERROR(VLOOKUP(Q125,'Rating Factors'!$BQ:$BR,2,FALSE),1)
  * IFERROR(VLOOKUP(R125,'Rating Factors'!$R:$S,2,FALSE),1)
  * IFERROR(VLOOKUP(S125,'Rating Factors'!$T:$U,2,FALSE),1)
  * IFERROR(VLOOKUP(T125,'Rating Factors'!$V:$W,2,FALSE),1)
  * IFERROR(VLOOKUP(U125,'Rating Factors'!$X:$Y,2,FALSE),1)
  * IFERROR(VLOOKUP(AI125,'Rating Factors'!$AB:$AC,2,FALSE),1)
  * IFERROR(VLOOKUP(AK125,'Rating Factors'!$AK:$AL,2,FALSE),1)
  * IFERROR(VLOOKUP(AL125,'Rating Factors'!$AP:$AQ,2,FALSE),1)
  * IFERROR(LOOKUP(SUM($W$8:$Z$127),'Rating Factors'!$BD:$BD,'Rating Factors'!$BE:$BE),1))</f>
        <v>0</v>
      </c>
      <c r="AY125" s="158">
        <f>IF(OR(AQ125="Declined", AN125&lt;&gt;"Y"),
   0,
   N(AT125)*N('Rating Factors'!$AG$2)/100
)</f>
        <v>0</v>
      </c>
      <c r="AZ125" s="158">
        <f t="shared" si="29"/>
        <v>0</v>
      </c>
      <c r="BA125" s="142">
        <f>_xlfn.LET(
  _xlpm.base_ok, AND(AQ125&lt;&gt;"Declined", N(AQ125)&gt;0),
  _xlpm.is_full, EXACT(AG125, "Full Limit"),
  _xlpm.total_tiv, SUM($AT$8:$AT$127),
  _xlpm.loc_tiv, N(BE125),
  _xlpm.full_rate, N('Rating Factors'!$AO$10),
  _xlpm.min_per_loc, N('Rating Factors'!$AN$10),
  _xlpm.n_locs, N(E122),
  _xlpm.sched_prem, MAX(_xlpm.total_tiv*_xlpm.full_rate, _xlpm.min_per_loc*_xlpm.n_locs),
  _xlpm.alloc_prem, IF(_xlpm.total_tiv=0, 0, _xlpm.sched_prem * _xlpm.loc_tiv / _xlpm.total_tiv),
  _xlpm.cap_prem, IFERROR(VLOOKUP(AG125, 'Rating Factors'!$AM:$AN, 2, FALSE), 0),
  IF(_xlpm.base_ok,
     IF(_xlpm.is_full, _xlpm.alloc_prem, _xlpm.cap_prem),
     0
  )
)</f>
        <v>0</v>
      </c>
      <c r="BB125" s="143">
        <f t="shared" si="27"/>
        <v>0</v>
      </c>
      <c r="BC125" s="144">
        <f t="shared" si="23"/>
        <v>0</v>
      </c>
      <c r="BD125" s="145">
        <f t="shared" si="24"/>
        <v>0</v>
      </c>
      <c r="BE125" s="115">
        <f t="shared" si="28"/>
        <v>0</v>
      </c>
      <c r="BF125" s="106" t="str">
        <f t="shared" si="25"/>
        <v/>
      </c>
      <c r="BG125"/>
      <c r="BI125" s="67" t="str" cm="1">
        <f t="array" ref="BI125">IF(E125="","",LEFT(_xlfn.REGEXEXTRACT(UPPER(E125),"[A-Z][0-9][A-Z][ -]?[0-9][A-Z][0-9]"),3))</f>
        <v/>
      </c>
      <c r="BJ125" s="66" t="str">
        <f>IF(E125="","",_xlfn.XLOOKUP(BI125, CrestaP!B:B, CrestaP!D:D, ""))</f>
        <v/>
      </c>
      <c r="BK125" s="66" t="str">
        <f>IFERROR(
  INDEX(
    CrestaP!H4:M9,
    MATCH(J125, {"Frame","Brick Veneer","Joisted Masonry","Non-Combustible","Masonry Non-Combustible","Fire resistive"}, 0),
    MATCH(TEXT(BJ125,"@"), {"16","E5","E4","E3","E2","E1"}, 0)
  ),
  ""
)</f>
        <v/>
      </c>
    </row>
    <row r="126" spans="2:63" hidden="1" x14ac:dyDescent="0.25">
      <c r="B126"/>
      <c r="C126" s="24">
        <f t="shared" si="26"/>
        <v>119</v>
      </c>
      <c r="D126" s="25" t="s">
        <v>30</v>
      </c>
      <c r="E126" s="175"/>
      <c r="F126" s="89"/>
      <c r="G126" s="89"/>
      <c r="H126" s="104"/>
      <c r="I126" s="104"/>
      <c r="J126" s="89"/>
      <c r="K126" s="89"/>
      <c r="L126" s="89"/>
      <c r="M126" s="89"/>
      <c r="N126" s="89"/>
      <c r="O126" s="89"/>
      <c r="P126" s="104"/>
      <c r="Q126" s="104"/>
      <c r="R126" s="89"/>
      <c r="S126" s="89"/>
      <c r="T126" s="89"/>
      <c r="U126" s="25"/>
      <c r="V126" s="119"/>
      <c r="W126" s="19"/>
      <c r="X126" s="104"/>
      <c r="Y126" s="104"/>
      <c r="Z126" s="104"/>
      <c r="AA126" s="19"/>
      <c r="AB126" s="160" t="str">
        <f>IF(OR(AA126="",G126=""),"",VLOOKUP(G126,'Rating Factors'!$C:$E,3,FALSE)*AA126)</f>
        <v/>
      </c>
      <c r="AC126" s="20"/>
      <c r="AD126" s="20"/>
      <c r="AE126" s="104"/>
      <c r="AF126" s="96"/>
      <c r="AG126" s="20"/>
      <c r="AH126" s="119"/>
      <c r="AI126" s="19"/>
      <c r="AJ126" s="19"/>
      <c r="AK126" s="19"/>
      <c r="AL126" s="96"/>
      <c r="AM126" s="119"/>
      <c r="AN126" s="19"/>
      <c r="AO126" s="20"/>
      <c r="AP126" s="119"/>
      <c r="AQ126" s="115">
        <f t="shared" si="17"/>
        <v>0</v>
      </c>
      <c r="AR126" s="171">
        <f>IF(OR(Z126="",N(Z126)=0),
IF(
N(H126)+N(I126)=0,
0,
MAX(
IFERROR(VLOOKUP(AE126,'Rating Factors'!$BJ:$BK,2,FALSE),0),
((N(H126)*'Rating Factors'!$BF$2)+(N(I126)*'Rating Factors'!$BG$2))
*IFERROR(VLOOKUP(AE126,'Rating Factors'!$Z:$AA,2,FALSE),1)
*IFERROR(VLOOKUP(AJ126,'Rating Factors'!$AD:$AE,2,FALSE),1)
*IFERROR(VLOOKUP(SUM($H$8:$H$127),'Rating Factors'!$BM:$BN,2),1)
*IFERROR(VLOOKUP(SUM($I$8:$I$127),'Rating Factors'!$BH:$BI,2),1)
)
),
MAX(IFERROR(VLOOKUP(AE126,'Rating Factors'!$BJ:$BL,3,FALSE),0),
((N(I126)*'Rating Factors'!$BG$2))
*IFERROR(VLOOKUP(AE126,'Rating Factors'!$Z:$AA,2,FALSE),1)
*IFERROR(VLOOKUP(AJ126,'Rating Factors'!$AD:$AE,2,FALSE),1)
*N(AA126)* IFERROR(VLOOKUP(G126,'Rating Factors'!$C:$D,2,FALSE),1)*0.0045
))</f>
        <v>0</v>
      </c>
      <c r="AS126" s="172">
        <f t="shared" si="18"/>
        <v>0</v>
      </c>
      <c r="AT126" s="115">
        <f t="shared" si="19"/>
        <v>0</v>
      </c>
      <c r="AU126" s="173" t="str">
        <f t="shared" si="20"/>
        <v/>
      </c>
      <c r="AV126" s="174" t="str">
        <f t="shared" si="21"/>
        <v/>
      </c>
      <c r="AW126" s="119"/>
      <c r="AX126" s="141">
        <f>IF(
  OR(
    IFERROR(VLOOKUP(F126,'Rating Factors'!$A:$B,2,FALSE)="Decline",FALSE),
    IFERROR(VLOOKUP(G126,'Rating Factors'!$C:$D,2,FALSE)="Decline",FALSE),
    IFERROR(VLOOKUP(J126,'Rating Factors'!$F:$G,2,FALSE)="Decline",FALSE),
    IFERROR(VLOOKUP(K126,'Rating Factors'!$H:$I,2,FALSE)="Decline",FALSE),
    IFERROR(VLOOKUP(L126,'Rating Factors'!$J:$K,2,FALSE)="Decline",FALSE),
    IFERROR(VLOOKUP(M126,'Rating Factors'!$L:$M,2,FALSE)="Decline",FALSE),
    IFERROR(VLOOKUP(N126,'Rating Factors'!$N:$O,2,FALSE)="Decline",FALSE),
    IFERROR(VLOOKUP(O126,'Rating Factors'!$P:$Q,2,FALSE)="Decline",FALSE),
    IFERROR(VLOOKUP(P126,'Rating Factors'!$BO:$BP,2,FALSE)="Decline",FALSE),
    IFERROR(VLOOKUP(Q126,'Rating Factors'!$BQ:$BR,2,FALSE)="Decline",FALSE),
    IFERROR(VLOOKUP(R126,'Rating Factors'!$R:$S,2,FALSE)="Decline",FALSE),
    IFERROR(VLOOKUP(S126,'Rating Factors'!$T:$U,2,FALSE)="Decline",FALSE),
    IFERROR(VLOOKUP(T126,'Rating Factors'!$V:$W,2,FALSE)="Decline",FALSE),
    IFERROR(VLOOKUP(U126,'Rating Factors'!$X:$Y,2,FALSE)="Decline",FALSE),
    IFERROR(VLOOKUP(AI126,'Rating Factors'!$AB:$AC,2,FALSE)="Decline",FALSE),
    IFERROR(VLOOKUP(AK126,'Rating Factors'!$AK:$AL,2,FALSE)="Decline",FALSE),
    IFERROR(VLOOKUP(AL126,'Rating Factors'!$AP:$AQ,2,FALSE)="Decline",FALSE)
  ),
  "Declined",
  SUM(
    W126,
    X126,
    Y126*
      IFERROR(VLOOKUP(AD126,'Rating Factors'!$BS:$BT,2,FALSE),1),
    Z126*
      IFERROR(VLOOKUP(AD126,'Rating Factors'!$BS:$BT,2,FALSE),1)*
      IFERROR(VLOOKUP(AC126,'Rating Factors'!$BV:$BW,2,FALSE),1),
  )
  * IFERROR(VLOOKUP(F126,'Rating Factors'!$A:$B,2,FALSE),1)
  * IFERROR(VLOOKUP(G126,'Rating Factors'!$C:$D,2,FALSE),1)
  * IFERROR(VLOOKUP(J126,'Rating Factors'!$F:$G,2,FALSE),1)
  * IFERROR(VLOOKUP(K126,'Rating Factors'!$H:$I,2,FALSE),1)
  * IFERROR(VLOOKUP(L126,'Rating Factors'!$J:$K,2,FALSE),1)
  * IFERROR(VLOOKUP(M126,'Rating Factors'!$L:$M,2,FALSE),1)
  * IFERROR(VLOOKUP(N126,'Rating Factors'!$N:$O,2,FALSE),1)
  * IFERROR(VLOOKUP(O126,'Rating Factors'!$P:$Q,2,FALSE),1)
  * IFERROR(VLOOKUP(P126,'Rating Factors'!$BO:$BP,2,FALSE),1)
  * IFERROR(VLOOKUP(Q126,'Rating Factors'!$BQ:$BR,2,FALSE),1)
  * IFERROR(VLOOKUP(R126,'Rating Factors'!$R:$S,2,FALSE),1)
  * IFERROR(VLOOKUP(S126,'Rating Factors'!$T:$U,2,FALSE),1)
  * IFERROR(VLOOKUP(T126,'Rating Factors'!$V:$W,2,FALSE),1)
  * IFERROR(VLOOKUP(U126,'Rating Factors'!$X:$Y,2,FALSE),1)
  * IFERROR(VLOOKUP(AI126,'Rating Factors'!$AB:$AC,2,FALSE),1)
  * IFERROR(VLOOKUP(AK126,'Rating Factors'!$AK:$AL,2,FALSE),1)
  * IFERROR(VLOOKUP(AL126,'Rating Factors'!$AP:$AQ,2,FALSE),1)
  * IFERROR(LOOKUP(SUM($W$8:$Z$127),'Rating Factors'!$BD:$BD,'Rating Factors'!$BE:$BE),1))</f>
        <v>0</v>
      </c>
      <c r="AY126" s="158">
        <f>IF(OR(AQ126="Declined", AN126&lt;&gt;"Y"),
   0,
   N(AT126)*N('Rating Factors'!$AG$2)/100
)</f>
        <v>0</v>
      </c>
      <c r="AZ126" s="158">
        <f t="shared" si="29"/>
        <v>0</v>
      </c>
      <c r="BA126" s="142">
        <f>_xlfn.LET(
  _xlpm.base_ok, AND(AQ126&lt;&gt;"Declined", N(AQ126)&gt;0),
  _xlpm.is_full, EXACT(AG126, "Full Limit"),
  _xlpm.total_tiv, SUM($AT$8:$AT$127),
  _xlpm.loc_tiv, N(BE126),
  _xlpm.full_rate, N('Rating Factors'!$AO$10),
  _xlpm.min_per_loc, N('Rating Factors'!$AN$10),
  _xlpm.n_locs, N(E123),
  _xlpm.sched_prem, MAX(_xlpm.total_tiv*_xlpm.full_rate, _xlpm.min_per_loc*_xlpm.n_locs),
  _xlpm.alloc_prem, IF(_xlpm.total_tiv=0, 0, _xlpm.sched_prem * _xlpm.loc_tiv / _xlpm.total_tiv),
  _xlpm.cap_prem, IFERROR(VLOOKUP(AG126, 'Rating Factors'!$AM:$AN, 2, FALSE), 0),
  IF(_xlpm.base_ok,
     IF(_xlpm.is_full, _xlpm.alloc_prem, _xlpm.cap_prem),
     0
  )
)</f>
        <v>0</v>
      </c>
      <c r="BB126" s="143">
        <f t="shared" si="27"/>
        <v>0</v>
      </c>
      <c r="BC126" s="144">
        <f t="shared" si="23"/>
        <v>0</v>
      </c>
      <c r="BD126" s="145">
        <f t="shared" si="24"/>
        <v>0</v>
      </c>
      <c r="BE126" s="115">
        <f t="shared" si="28"/>
        <v>0</v>
      </c>
      <c r="BF126" s="106" t="str">
        <f t="shared" si="25"/>
        <v/>
      </c>
      <c r="BG126"/>
      <c r="BI126" s="67" t="str" cm="1">
        <f t="array" ref="BI126">IF(E126="","",LEFT(_xlfn.REGEXEXTRACT(UPPER(E126),"[A-Z][0-9][A-Z][ -]?[0-9][A-Z][0-9]"),3))</f>
        <v/>
      </c>
      <c r="BJ126" s="66" t="str">
        <f>IF(E126="","",_xlfn.XLOOKUP(BI126, CrestaP!B:B, CrestaP!D:D, ""))</f>
        <v/>
      </c>
      <c r="BK126" s="66" t="str">
        <f>IFERROR(
  INDEX(
    CrestaP!H4:M9,
    MATCH(J126, {"Frame","Brick Veneer","Joisted Masonry","Non-Combustible","Masonry Non-Combustible","Fire resistive"}, 0),
    MATCH(TEXT(BJ126,"@"), {"16","E5","E4","E3","E2","E1"}, 0)
  ),
  ""
)</f>
        <v/>
      </c>
    </row>
    <row r="127" spans="2:63" hidden="1" x14ac:dyDescent="0.25">
      <c r="B127"/>
      <c r="C127" s="24">
        <f t="shared" si="26"/>
        <v>120</v>
      </c>
      <c r="D127" s="25" t="s">
        <v>30</v>
      </c>
      <c r="E127" s="176"/>
      <c r="F127" s="89"/>
      <c r="G127" s="89"/>
      <c r="H127" s="104"/>
      <c r="I127" s="104"/>
      <c r="J127" s="89"/>
      <c r="K127" s="89"/>
      <c r="L127" s="89"/>
      <c r="M127" s="89"/>
      <c r="N127" s="89"/>
      <c r="O127" s="89"/>
      <c r="P127" s="104"/>
      <c r="Q127" s="104"/>
      <c r="R127" s="89"/>
      <c r="S127" s="89"/>
      <c r="T127" s="89"/>
      <c r="U127" s="25"/>
      <c r="V127" s="119"/>
      <c r="W127" s="19"/>
      <c r="X127" s="104"/>
      <c r="Y127" s="104"/>
      <c r="Z127" s="104"/>
      <c r="AA127" s="43"/>
      <c r="AB127" s="160" t="str">
        <f>IF(OR(AA127="",G127=""),"",VLOOKUP(G127,'Rating Factors'!$C:$E,3,FALSE)*AA127)</f>
        <v/>
      </c>
      <c r="AC127" s="44"/>
      <c r="AD127" s="44"/>
      <c r="AE127" s="104"/>
      <c r="AF127" s="105"/>
      <c r="AG127" s="44"/>
      <c r="AH127" s="119"/>
      <c r="AI127" s="19"/>
      <c r="AJ127" s="43"/>
      <c r="AK127" s="43"/>
      <c r="AL127" s="105"/>
      <c r="AM127" s="119"/>
      <c r="AN127" s="43"/>
      <c r="AO127" s="44"/>
      <c r="AP127" s="119"/>
      <c r="AQ127" s="117">
        <f t="shared" si="17"/>
        <v>0</v>
      </c>
      <c r="AR127" s="177">
        <f>IF(OR(Z127="",N(Z127)=0),
IF(
N(H127)+N(I127)=0,
0,
MAX(
IFERROR(VLOOKUP(AE127,'Rating Factors'!$BJ:$BK,2,FALSE),0),
((N(H127)*'Rating Factors'!$BF$2)+(N(I127)*'Rating Factors'!$BG$2))
*IFERROR(VLOOKUP(AE127,'Rating Factors'!$Z:$AA,2,FALSE),1)
*IFERROR(VLOOKUP(AJ127,'Rating Factors'!$AD:$AE,2,FALSE),1)
*IFERROR(VLOOKUP(SUM($H$8:$H$127),'Rating Factors'!$BM:$BN,2),1)
*IFERROR(VLOOKUP(SUM($I$8:$I$127),'Rating Factors'!$BH:$BI,2),1)
)
),
MAX(IFERROR(VLOOKUP(AE127,'Rating Factors'!$BJ:$BL,3,FALSE),0),
((N(I127)*'Rating Factors'!$BG$2))
*IFERROR(VLOOKUP(AE127,'Rating Factors'!$Z:$AA,2,FALSE),1)
*IFERROR(VLOOKUP(AJ127,'Rating Factors'!$AD:$AE,2,FALSE),1)
*N(AA127)* IFERROR(VLOOKUP(G127,'Rating Factors'!$C:$D,2,FALSE),1)*0.0045
))</f>
        <v>0</v>
      </c>
      <c r="AS127" s="172">
        <f t="shared" si="18"/>
        <v>0</v>
      </c>
      <c r="AT127" s="117">
        <f t="shared" si="19"/>
        <v>0</v>
      </c>
      <c r="AU127" s="178" t="str">
        <f t="shared" si="20"/>
        <v/>
      </c>
      <c r="AV127" s="179" t="str">
        <f t="shared" si="21"/>
        <v/>
      </c>
      <c r="AW127" s="119"/>
      <c r="AX127" s="146">
        <f>IF(
  OR(
    IFERROR(VLOOKUP(F127,'Rating Factors'!$A:$B,2,FALSE)="Decline",FALSE),
    IFERROR(VLOOKUP(G127,'Rating Factors'!$C:$D,2,FALSE)="Decline",FALSE),
    IFERROR(VLOOKUP(J127,'Rating Factors'!$F:$G,2,FALSE)="Decline",FALSE),
    IFERROR(VLOOKUP(K127,'Rating Factors'!$H:$I,2,FALSE)="Decline",FALSE),
    IFERROR(VLOOKUP(L127,'Rating Factors'!$J:$K,2,FALSE)="Decline",FALSE),
    IFERROR(VLOOKUP(M127,'Rating Factors'!$L:$M,2,FALSE)="Decline",FALSE),
    IFERROR(VLOOKUP(N127,'Rating Factors'!$N:$O,2,FALSE)="Decline",FALSE),
    IFERROR(VLOOKUP(O127,'Rating Factors'!$P:$Q,2,FALSE)="Decline",FALSE),
    IFERROR(VLOOKUP(P127,'Rating Factors'!$BO:$BP,2,FALSE)="Decline",FALSE),
    IFERROR(VLOOKUP(Q127,'Rating Factors'!$BQ:$BR,2,FALSE)="Decline",FALSE),
    IFERROR(VLOOKUP(R127,'Rating Factors'!$R:$S,2,FALSE)="Decline",FALSE),
    IFERROR(VLOOKUP(S127,'Rating Factors'!$T:$U,2,FALSE)="Decline",FALSE),
    IFERROR(VLOOKUP(T127,'Rating Factors'!$V:$W,2,FALSE)="Decline",FALSE),
    IFERROR(VLOOKUP(U127,'Rating Factors'!$X:$Y,2,FALSE)="Decline",FALSE),
    IFERROR(VLOOKUP(AI127,'Rating Factors'!$AB:$AC,2,FALSE)="Decline",FALSE),
    IFERROR(VLOOKUP(AK127,'Rating Factors'!$AK:$AL,2,FALSE)="Decline",FALSE),
    IFERROR(VLOOKUP(AL127,'Rating Factors'!$AP:$AQ,2,FALSE)="Decline",FALSE)
  ),
  "Declined",
  SUM(
    W127,
    X127,
    Y127*
      IFERROR(VLOOKUP(AD127,'Rating Factors'!$BS:$BT,2,FALSE),1),
    Z127*
      IFERROR(VLOOKUP(AD127,'Rating Factors'!$BS:$BT,2,FALSE),1)*
      IFERROR(VLOOKUP(AC127,'Rating Factors'!$BV:$BW,2,FALSE),1),
  )
  * IFERROR(VLOOKUP(F127,'Rating Factors'!$A:$B,2,FALSE),1)
  * IFERROR(VLOOKUP(G127,'Rating Factors'!$C:$D,2,FALSE),1)
  * IFERROR(VLOOKUP(J127,'Rating Factors'!$F:$G,2,FALSE),1)
  * IFERROR(VLOOKUP(K127,'Rating Factors'!$H:$I,2,FALSE),1)
  * IFERROR(VLOOKUP(L127,'Rating Factors'!$J:$K,2,FALSE),1)
  * IFERROR(VLOOKUP(M127,'Rating Factors'!$L:$M,2,FALSE),1)
  * IFERROR(VLOOKUP(N127,'Rating Factors'!$N:$O,2,FALSE),1)
  * IFERROR(VLOOKUP(O127,'Rating Factors'!$P:$Q,2,FALSE),1)
  * IFERROR(VLOOKUP(P127,'Rating Factors'!$BO:$BP,2,FALSE),1)
  * IFERROR(VLOOKUP(Q127,'Rating Factors'!$BQ:$BR,2,FALSE),1)
  * IFERROR(VLOOKUP(R127,'Rating Factors'!$R:$S,2,FALSE),1)
  * IFERROR(VLOOKUP(S127,'Rating Factors'!$T:$U,2,FALSE),1)
  * IFERROR(VLOOKUP(T127,'Rating Factors'!$V:$W,2,FALSE),1)
  * IFERROR(VLOOKUP(U127,'Rating Factors'!$X:$Y,2,FALSE),1)
  * IFERROR(VLOOKUP(AI127,'Rating Factors'!$AB:$AC,2,FALSE),1)
  * IFERROR(VLOOKUP(AK127,'Rating Factors'!$AK:$AL,2,FALSE),1)
  * IFERROR(VLOOKUP(AL127,'Rating Factors'!$AP:$AQ,2,FALSE),1)
  * IFERROR(LOOKUP(SUM($W$8:$Z$127),'Rating Factors'!$BD:$BD,'Rating Factors'!$BE:$BE),1))</f>
        <v>0</v>
      </c>
      <c r="AY127" s="147">
        <f>IF(OR(AQ127="Declined", AN127&lt;&gt;"Y"),
   0,
   N(AT127)*N('Rating Factors'!$AG$2)/100
)</f>
        <v>0</v>
      </c>
      <c r="AZ127" s="147">
        <f t="shared" si="29"/>
        <v>0</v>
      </c>
      <c r="BA127" s="148">
        <f>_xlfn.LET(
  _xlpm.base_ok, AND(AQ127&lt;&gt;"Declined", N(AQ127)&gt;0),
  _xlpm.is_full, EXACT(AG127, "Full Limit"),
  _xlpm.total_tiv, SUM($AT$8:$AT$127),
  _xlpm.loc_tiv, N(BE127),
  _xlpm.full_rate, N('Rating Factors'!$AO$10),
  _xlpm.min_per_loc, N('Rating Factors'!$AN$10),
  _xlpm.n_locs, N(E124),
  _xlpm.sched_prem, MAX(_xlpm.total_tiv*_xlpm.full_rate, _xlpm.min_per_loc*_xlpm.n_locs),
  _xlpm.alloc_prem, IF(_xlpm.total_tiv=0, 0, _xlpm.sched_prem * _xlpm.loc_tiv / _xlpm.total_tiv),
  _xlpm.cap_prem, IFERROR(VLOOKUP(AG127, 'Rating Factors'!$AM:$AN, 2, FALSE), 0),
  IF(_xlpm.base_ok,
     IF(_xlpm.is_full, _xlpm.alloc_prem, _xlpm.cap_prem),
     0
  )
)</f>
        <v>0</v>
      </c>
      <c r="BB127" s="149">
        <f t="shared" si="27"/>
        <v>0</v>
      </c>
      <c r="BC127" s="144">
        <f t="shared" si="23"/>
        <v>0</v>
      </c>
      <c r="BD127" s="145">
        <f t="shared" si="24"/>
        <v>0</v>
      </c>
      <c r="BE127" s="117">
        <f t="shared" si="28"/>
        <v>0</v>
      </c>
      <c r="BF127" s="118" t="str">
        <f t="shared" si="25"/>
        <v/>
      </c>
      <c r="BG127"/>
      <c r="BI127" s="67" t="str" cm="1">
        <f t="array" ref="BI127">IF(E127="","",LEFT(_xlfn.REGEXEXTRACT(UPPER(E127),"[A-Z][0-9][A-Z][ -]?[0-9][A-Z][0-9]"),3))</f>
        <v/>
      </c>
      <c r="BJ127" s="66" t="str">
        <f>IF(E127="","",_xlfn.XLOOKUP(BI127, CrestaP!B:B, CrestaP!D:D, ""))</f>
        <v/>
      </c>
      <c r="BK127" s="66" t="str">
        <f>IFERROR(
  INDEX(
    CrestaP!H4:M9,
    MATCH(J127, {"Frame","Brick Veneer","Joisted Masonry","Non-Combustible","Masonry Non-Combustible","Fire resistive"}, 0),
    MATCH(TEXT(BJ127,"@"), {"16","E5","E4","E3","E2","E1"}, 0)
  ),
  ""
)</f>
        <v/>
      </c>
    </row>
    <row r="128" spans="2:63" ht="9.9499999999999993" customHeight="1" x14ac:dyDescent="0.25">
      <c r="B128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11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119"/>
      <c r="AI128" s="29"/>
      <c r="AJ128" s="29"/>
      <c r="AK128" s="29"/>
      <c r="AL128" s="29"/>
      <c r="AM128" s="119"/>
      <c r="AN128" s="29"/>
      <c r="AO128" s="29"/>
      <c r="AP128" s="119"/>
      <c r="AQ128" s="29"/>
      <c r="AR128" s="29"/>
      <c r="AS128" s="29"/>
      <c r="AT128" s="29"/>
      <c r="AU128" s="29"/>
      <c r="AV128" s="180"/>
      <c r="AW128" s="119"/>
      <c r="AX128" s="152"/>
      <c r="AY128" s="152"/>
      <c r="AZ128" s="152"/>
      <c r="BA128" s="152"/>
      <c r="BB128" s="150"/>
      <c r="BC128" s="150"/>
      <c r="BD128" s="150"/>
      <c r="BE128" s="29"/>
      <c r="BF128" s="29"/>
      <c r="BG128"/>
    </row>
  </sheetData>
  <protectedRanges>
    <protectedRange sqref="AC8:AO127" name="Range3"/>
    <protectedRange sqref="E5" name="Number of Location"/>
    <protectedRange sqref="D8:AA127" name="Inputs"/>
  </protectedRanges>
  <mergeCells count="12">
    <mergeCell ref="AX5:BF5"/>
    <mergeCell ref="AX6:BD6"/>
    <mergeCell ref="BE6:BF6"/>
    <mergeCell ref="C2:E4"/>
    <mergeCell ref="C5:D5"/>
    <mergeCell ref="C6:U6"/>
    <mergeCell ref="AQ6:AS6"/>
    <mergeCell ref="AN6:AO6"/>
    <mergeCell ref="W6:AG6"/>
    <mergeCell ref="AI6:AL6"/>
    <mergeCell ref="AQ5:AV5"/>
    <mergeCell ref="AT6:AV6"/>
  </mergeCells>
  <phoneticPr fontId="3" type="noConversion"/>
  <conditionalFormatting sqref="AB8:AB127">
    <cfRule type="expression" dxfId="0" priority="1">
      <formula>AND($AC8="Y",$AB8&lt;&gt;$Z8)</formula>
    </cfRule>
  </conditionalFormatting>
  <dataValidations count="4">
    <dataValidation type="list" allowBlank="1" showInputMessage="1" showErrorMessage="1" sqref="E5" xr:uid="{4B076982-9EA0-4894-8A93-3A8440BB3504}">
      <formula1>$C$8:$C$127</formula1>
    </dataValidation>
    <dataValidation type="list" allowBlank="1" showInputMessage="1" showErrorMessage="1" sqref="D8:D127" xr:uid="{C001A52E-725E-424A-88E3-8A6B4E5FACC1}">
      <formula1>"CAD"</formula1>
    </dataValidation>
    <dataValidation type="list" allowBlank="1" showInputMessage="1" showErrorMessage="1" sqref="AN8:AO127 P8:P127 AC8:AC127" xr:uid="{F34D265A-0E56-415E-A0F3-A4BC74F285AB}">
      <formula1>"Y, N"</formula1>
    </dataValidation>
    <dataValidation type="list" allowBlank="1" showInputMessage="1" showErrorMessage="1" sqref="AL8:AL127" xr:uid="{D6A00D0C-9711-4C70-B99D-8C2766B9E623}">
      <formula1>SBU</formula1>
    </dataValidation>
  </dataValidations>
  <pageMargins left="0.7" right="0.7" top="0.75" bottom="0.75" header="0.3" footer="0.3"/>
  <pageSetup paperSize="9" orientation="portrait" verticalDpi="0" r:id="rId1"/>
  <ignoredErrors>
    <ignoredError sqref="BD8:BD17 BD18:BD127" formula="1"/>
    <ignoredError sqref="AT128 AT8" formulaRange="1"/>
  </ignoredErrors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AB3BD4AB-0E9C-4478-AFC0-E70FA08A1B23}">
          <x14:formula1>
            <xm:f>'Rating Factors'!$F$2:$F$7</xm:f>
          </x14:formula1>
          <xm:sqref>J8:J127</xm:sqref>
        </x14:dataValidation>
        <x14:dataValidation type="list" allowBlank="1" showInputMessage="1" showErrorMessage="1" xr:uid="{608F9F26-E336-4E98-975E-BB41F92B4B8A}">
          <x14:formula1>
            <xm:f>'Rating Factors'!$A$2:$A$14</xm:f>
          </x14:formula1>
          <xm:sqref>F8:F127</xm:sqref>
        </x14:dataValidation>
        <x14:dataValidation type="list" allowBlank="1" showInputMessage="1" showErrorMessage="1" xr:uid="{85C6B3AD-BAF4-4395-BF59-9DD2D5AE78D0}">
          <x14:formula1>
            <xm:f>'Rating Factors'!$R$2:$R$6</xm:f>
          </x14:formula1>
          <xm:sqref>R8:R127</xm:sqref>
        </x14:dataValidation>
        <x14:dataValidation type="list" allowBlank="1" showInputMessage="1" showErrorMessage="1" xr:uid="{FF164043-BEFF-49A3-80CD-D60D41714113}">
          <x14:formula1>
            <xm:f>'Rating Factors'!$H$2:$H$12</xm:f>
          </x14:formula1>
          <xm:sqref>K8:K127</xm:sqref>
        </x14:dataValidation>
        <x14:dataValidation type="list" allowBlank="1" showInputMessage="1" showErrorMessage="1" xr:uid="{13A83D61-2416-40C4-89E8-3F0F71506935}">
          <x14:formula1>
            <xm:f>'Rating Factors'!$P$2:$P$10</xm:f>
          </x14:formula1>
          <xm:sqref>O8:O127</xm:sqref>
        </x14:dataValidation>
        <x14:dataValidation type="list" allowBlank="1" showInputMessage="1" showErrorMessage="1" xr:uid="{DC925218-4E4A-4B34-BD2E-B8313A5095A5}">
          <x14:formula1>
            <xm:f>'Rating Factors'!$V$2:$V$3</xm:f>
          </x14:formula1>
          <xm:sqref>T8:T127</xm:sqref>
        </x14:dataValidation>
        <x14:dataValidation type="list" allowBlank="1" showInputMessage="1" showErrorMessage="1" xr:uid="{216A650A-358B-491D-96CF-035022107886}">
          <x14:formula1>
            <xm:f>'Rating Factors'!$X$2:$X$3</xm:f>
          </x14:formula1>
          <xm:sqref>U8:U127</xm:sqref>
        </x14:dataValidation>
        <x14:dataValidation type="list" allowBlank="1" showInputMessage="1" showErrorMessage="1" xr:uid="{5FA1D2B1-C7BD-471C-B9D3-F9F21CF1D249}">
          <x14:formula1>
            <xm:f>'Rating Factors'!$C$2:$C$91</xm:f>
          </x14:formula1>
          <xm:sqref>G8:G127</xm:sqref>
        </x14:dataValidation>
        <x14:dataValidation type="list" allowBlank="1" showInputMessage="1" showErrorMessage="1" xr:uid="{1883A8BA-A6F5-4BE6-B1EA-53C4281A5AED}">
          <x14:formula1>
            <xm:f>'Rating Factors'!$Z$2:$Z$11</xm:f>
          </x14:formula1>
          <xm:sqref>AE8:AE127</xm:sqref>
        </x14:dataValidation>
        <x14:dataValidation type="list" allowBlank="1" showInputMessage="1" showErrorMessage="1" xr:uid="{EEAE5766-3BDD-45CC-9415-485E9C335897}">
          <x14:formula1>
            <xm:f>'Rating Factors'!$AB$2:$AB$12</xm:f>
          </x14:formula1>
          <xm:sqref>AI8:AI127</xm:sqref>
        </x14:dataValidation>
        <x14:dataValidation type="list" allowBlank="1" showInputMessage="1" showErrorMessage="1" xr:uid="{4A178DB7-42CB-42F2-B18F-79B41F7D8062}">
          <x14:formula1>
            <xm:f>'Rating Factors'!$AD$2:$AD$12</xm:f>
          </x14:formula1>
          <xm:sqref>AK9:AK127 AJ8:AJ127</xm:sqref>
        </x14:dataValidation>
        <x14:dataValidation type="list" allowBlank="1" showInputMessage="1" showErrorMessage="1" xr:uid="{DB253603-6869-475C-B608-545FC9CD9B17}">
          <x14:formula1>
            <xm:f>'Rating Factors'!$AM$2:$AM$10</xm:f>
          </x14:formula1>
          <xm:sqref>AG8:AG127</xm:sqref>
        </x14:dataValidation>
        <x14:dataValidation type="list" allowBlank="1" showInputMessage="1" showErrorMessage="1" xr:uid="{052211F9-4055-4DC2-99A8-644D2DBBAB37}">
          <x14:formula1>
            <xm:f>'Rating Factors'!$J$2:$J$7</xm:f>
          </x14:formula1>
          <xm:sqref>L8:L127 N9:N127</xm:sqref>
        </x14:dataValidation>
        <x14:dataValidation type="list" allowBlank="1" showInputMessage="1" showErrorMessage="1" xr:uid="{2814747C-4C74-4381-BC02-55F625901ED6}">
          <x14:formula1>
            <xm:f>'Rating Factors'!$L$2:$L$10</xm:f>
          </x14:formula1>
          <xm:sqref>M8:M127</xm:sqref>
        </x14:dataValidation>
        <x14:dataValidation type="list" allowBlank="1" showInputMessage="1" showErrorMessage="1" xr:uid="{DBADE875-71D3-4D2A-B3A5-A22E7D33DEA5}">
          <x14:formula1>
            <xm:f>'Rating Factors'!$N$2:$N$10</xm:f>
          </x14:formula1>
          <xm:sqref>N8</xm:sqref>
        </x14:dataValidation>
        <x14:dataValidation type="list" allowBlank="1" showInputMessage="1" showErrorMessage="1" xr:uid="{EF0D7D3D-C730-447D-A84D-7A445E07C2F0}">
          <x14:formula1>
            <xm:f>'Rating Factors'!$AJ$2:$AJ$10</xm:f>
          </x14:formula1>
          <xm:sqref>AF8:AF127</xm:sqref>
        </x14:dataValidation>
        <x14:dataValidation type="list" allowBlank="1" showInputMessage="1" showErrorMessage="1" xr:uid="{729A2278-1A71-4670-A26D-8A896CC5A194}">
          <x14:formula1>
            <xm:f>'Rating Factors'!$AK$2:$AK$9</xm:f>
          </x14:formula1>
          <xm:sqref>AK8</xm:sqref>
        </x14:dataValidation>
        <x14:dataValidation type="list" allowBlank="1" showInputMessage="1" showErrorMessage="1" xr:uid="{7634ED86-76BE-408F-9F3B-C45413E70303}">
          <x14:formula1>
            <xm:f>'Rating Factors'!$T$2:$T$4</xm:f>
          </x14:formula1>
          <xm:sqref>S8:S127</xm:sqref>
        </x14:dataValidation>
        <x14:dataValidation type="list" allowBlank="1" showInputMessage="1" showErrorMessage="1" xr:uid="{C0A05599-836E-41AB-A990-8A2FA2A9D1EF}">
          <x14:formula1>
            <xm:f>'Rating Factors'!$BQ$2:$BQ$11</xm:f>
          </x14:formula1>
          <xm:sqref>Q8:Q127</xm:sqref>
        </x14:dataValidation>
        <x14:dataValidation type="list" allowBlank="1" showInputMessage="1" showErrorMessage="1" xr:uid="{73E89859-9D74-4BC9-8230-ED570A0C5F92}">
          <x14:formula1>
            <xm:f>'Rating Factors'!$BS$2:$BS$5</xm:f>
          </x14:formula1>
          <xm:sqref>AD8:AD127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98911-EB5B-4553-8357-1C54A644285A}">
  <sheetPr codeName="Sheet4">
    <pageSetUpPr autoPageBreaks="0" fitToPage="1"/>
  </sheetPr>
  <dimension ref="B1:AG142"/>
  <sheetViews>
    <sheetView showGridLines="0" zoomScale="110" zoomScaleNormal="110" zoomScaleSheetLayoutView="115" workbookViewId="0">
      <pane xSplit="5" ySplit="20" topLeftCell="R21" activePane="bottomRight" state="frozen"/>
      <selection pane="topRight" activeCell="F1" sqref="F1"/>
      <selection pane="bottomLeft" activeCell="A8" sqref="A8"/>
      <selection pane="bottomRight" activeCell="AD11" sqref="AD11"/>
    </sheetView>
  </sheetViews>
  <sheetFormatPr defaultColWidth="8.7109375" defaultRowHeight="15" x14ac:dyDescent="0.25"/>
  <cols>
    <col min="1" max="2" width="1.7109375" style="22" customWidth="1"/>
    <col min="3" max="3" width="8.85546875" style="26" customWidth="1"/>
    <col min="4" max="4" width="19.140625" style="26" bestFit="1" customWidth="1"/>
    <col min="5" max="5" width="61.28515625" style="26" customWidth="1"/>
    <col min="6" max="6" width="1" style="22" customWidth="1"/>
    <col min="7" max="10" width="11.85546875" style="22" customWidth="1"/>
    <col min="11" max="11" width="1" style="22" customWidth="1"/>
    <col min="12" max="13" width="9.140625" style="22" customWidth="1"/>
    <col min="14" max="14" width="1" style="22" customWidth="1"/>
    <col min="15" max="16" width="14.42578125" style="22" customWidth="1"/>
    <col min="17" max="17" width="1" style="22" customWidth="1"/>
    <col min="18" max="24" width="10.85546875" style="22" customWidth="1"/>
    <col min="25" max="25" width="11.85546875" style="22" customWidth="1"/>
    <col min="26" max="26" width="10.85546875" style="22" customWidth="1"/>
    <col min="27" max="28" width="1.7109375" style="22" customWidth="1"/>
    <col min="29" max="16384" width="8.7109375" style="22"/>
  </cols>
  <sheetData>
    <row r="1" spans="2:27" ht="9.9499999999999993" customHeight="1" x14ac:dyDescent="0.25"/>
    <row r="2" spans="2:27" ht="15" customHeight="1" x14ac:dyDescent="0.25">
      <c r="B2" s="23"/>
      <c r="C2" s="214"/>
      <c r="D2" s="215"/>
      <c r="E2" s="215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</row>
    <row r="3" spans="2:27" ht="15" customHeight="1" x14ac:dyDescent="0.25">
      <c r="B3" s="23"/>
      <c r="C3" s="215"/>
      <c r="D3" s="215"/>
      <c r="E3" s="215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2:27" ht="11.25" customHeight="1" x14ac:dyDescent="0.25">
      <c r="B4" s="23"/>
      <c r="C4" s="215"/>
      <c r="D4" s="215"/>
      <c r="E4" s="215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64"/>
      <c r="Y4" s="23"/>
      <c r="Z4" s="23"/>
      <c r="AA4" s="23"/>
    </row>
    <row r="5" spans="2:27" x14ac:dyDescent="0.25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2:27" x14ac:dyDescent="0.25">
      <c r="B6"/>
      <c r="C6" s="216" t="s">
        <v>37</v>
      </c>
      <c r="D6" s="217"/>
      <c r="E6" s="218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2:27" x14ac:dyDescent="0.25">
      <c r="B7"/>
      <c r="C7" s="219" t="s">
        <v>32</v>
      </c>
      <c r="D7" s="220"/>
      <c r="E7" s="72">
        <f>Main!E5</f>
        <v>1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2:27" x14ac:dyDescent="0.25">
      <c r="B8"/>
      <c r="C8" s="221" t="s">
        <v>23</v>
      </c>
      <c r="D8" s="41" t="s">
        <v>31</v>
      </c>
      <c r="E8" s="72">
        <f>Main!AG8</f>
        <v>100000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2:27" x14ac:dyDescent="0.25">
      <c r="B9"/>
      <c r="C9" s="222"/>
      <c r="D9" s="73" t="s">
        <v>1267</v>
      </c>
      <c r="E9" s="72">
        <f>Main!AL8</f>
        <v>10000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2:27" x14ac:dyDescent="0.25">
      <c r="B10"/>
      <c r="C10" s="222"/>
      <c r="D10" s="68" t="s">
        <v>27</v>
      </c>
      <c r="E10" s="72">
        <f>SUM(Main!AT8:AT127)</f>
        <v>6150000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2:27" x14ac:dyDescent="0.25">
      <c r="B11"/>
      <c r="C11" s="222"/>
      <c r="D11" s="113" t="s">
        <v>33</v>
      </c>
      <c r="E11" s="112">
        <f>Main!BF8</f>
        <v>3.8483144459793362E-3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2:27" x14ac:dyDescent="0.25">
      <c r="B12"/>
      <c r="C12" s="223"/>
      <c r="D12" s="70" t="s">
        <v>34</v>
      </c>
      <c r="E12" s="69">
        <f>Main!BB8</f>
        <v>23667.133842772917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2:27" x14ac:dyDescent="0.25">
      <c r="B13"/>
      <c r="C13" s="39" t="s">
        <v>36</v>
      </c>
      <c r="D13" s="70" t="s">
        <v>34</v>
      </c>
      <c r="E13" s="69">
        <f>Main!BC8</f>
        <v>6058.7999999999993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2:27" x14ac:dyDescent="0.25">
      <c r="B14"/>
      <c r="C14" s="87" t="s">
        <v>26</v>
      </c>
      <c r="D14" s="86" t="s">
        <v>34</v>
      </c>
      <c r="E14" s="69">
        <f>E12+E13</f>
        <v>29725.933842772916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2:27" x14ac:dyDescent="0.25">
      <c r="B15"/>
      <c r="C15" s="87"/>
      <c r="D15" s="86"/>
      <c r="E15" s="69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2:27" x14ac:dyDescent="0.25">
      <c r="B16"/>
      <c r="C16" s="87"/>
      <c r="D16" s="86" t="s">
        <v>182</v>
      </c>
      <c r="E16" s="69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2:33" x14ac:dyDescent="0.25">
      <c r="B17"/>
      <c r="C17" s="71" t="s">
        <v>183</v>
      </c>
      <c r="D17" s="84" t="s">
        <v>184</v>
      </c>
      <c r="E17" s="85">
        <f>E14+E15+E16</f>
        <v>29725.933842772916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2:33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2:33" s="16" customFormat="1" x14ac:dyDescent="0.25">
      <c r="B19" s="4"/>
      <c r="C19" s="209" t="s">
        <v>8</v>
      </c>
      <c r="D19" s="213"/>
      <c r="E19" s="210"/>
      <c r="F19" s="4"/>
      <c r="G19" s="209" t="s">
        <v>2</v>
      </c>
      <c r="H19" s="213"/>
      <c r="I19" s="213"/>
      <c r="J19" s="210"/>
      <c r="K19" s="4"/>
      <c r="L19" s="209" t="s">
        <v>3</v>
      </c>
      <c r="M19" s="210"/>
      <c r="N19" s="4"/>
      <c r="O19" s="209" t="s">
        <v>4</v>
      </c>
      <c r="P19" s="210"/>
      <c r="Q19" s="4"/>
      <c r="R19" s="211" t="s">
        <v>7</v>
      </c>
      <c r="S19" s="212"/>
      <c r="T19" s="212"/>
      <c r="U19" s="212"/>
      <c r="V19" s="213"/>
      <c r="W19" s="213"/>
      <c r="X19" s="210"/>
      <c r="Y19" s="209" t="s">
        <v>6</v>
      </c>
      <c r="Z19" s="210"/>
      <c r="AA19" s="4"/>
      <c r="AB19" s="22"/>
    </row>
    <row r="20" spans="2:33" s="17" customFormat="1" ht="44.1" customHeight="1" x14ac:dyDescent="0.25">
      <c r="B20" s="5"/>
      <c r="C20" s="38" t="s">
        <v>8</v>
      </c>
      <c r="D20" s="42" t="s">
        <v>9</v>
      </c>
      <c r="E20" s="42" t="s">
        <v>10</v>
      </c>
      <c r="F20" s="5"/>
      <c r="G20" s="31" t="s">
        <v>19</v>
      </c>
      <c r="H20" s="32" t="s">
        <v>20</v>
      </c>
      <c r="I20" s="33" t="s">
        <v>21</v>
      </c>
      <c r="J20" s="33" t="s">
        <v>22</v>
      </c>
      <c r="K20" s="5"/>
      <c r="L20" s="34" t="s">
        <v>23</v>
      </c>
      <c r="M20" s="36" t="s">
        <v>22</v>
      </c>
      <c r="N20" s="5"/>
      <c r="O20" s="34" t="s">
        <v>24</v>
      </c>
      <c r="P20" s="35" t="s">
        <v>25</v>
      </c>
      <c r="Q20" s="5"/>
      <c r="R20" s="39" t="s">
        <v>1266</v>
      </c>
      <c r="S20" s="63" t="s">
        <v>43</v>
      </c>
      <c r="T20" s="63" t="s">
        <v>44</v>
      </c>
      <c r="U20" s="42" t="s">
        <v>1265</v>
      </c>
      <c r="V20" s="42" t="s">
        <v>29</v>
      </c>
      <c r="W20" s="42" t="s">
        <v>22</v>
      </c>
      <c r="X20" s="40" t="s">
        <v>26</v>
      </c>
      <c r="Y20" s="40" t="s">
        <v>27</v>
      </c>
      <c r="Z20" s="40" t="s">
        <v>28</v>
      </c>
      <c r="AA20" s="5"/>
      <c r="AB20" s="22"/>
    </row>
    <row r="21" spans="2:33" x14ac:dyDescent="0.25">
      <c r="B21"/>
      <c r="C21" s="24">
        <v>1</v>
      </c>
      <c r="D21" s="51" t="str">
        <f>Main!D8</f>
        <v>CAD</v>
      </c>
      <c r="E21" s="83" t="str">
        <f>Main!E8</f>
        <v>4470 boul. de la Grande-Allée, Boisbriand, QC J7K 3C1</v>
      </c>
      <c r="F21"/>
      <c r="G21" s="48">
        <f>Main!W8</f>
        <v>0</v>
      </c>
      <c r="H21" s="49">
        <f>Main!X8</f>
        <v>750000</v>
      </c>
      <c r="I21" s="49">
        <f>Main!Y8</f>
        <v>0</v>
      </c>
      <c r="J21" s="50">
        <f>Main!AE8</f>
        <v>5000000</v>
      </c>
      <c r="K21"/>
      <c r="L21" s="48">
        <f>Main!AI8</f>
        <v>5000</v>
      </c>
      <c r="M21" s="50">
        <f>Main!AJ8</f>
        <v>5000</v>
      </c>
      <c r="N21"/>
      <c r="O21" s="125" t="str">
        <f>Main!AN8</f>
        <v>Y</v>
      </c>
      <c r="P21" s="126" t="str">
        <f>Main!AO8</f>
        <v>Y</v>
      </c>
      <c r="Q21"/>
      <c r="R21" s="27">
        <f>Main!AX8</f>
        <v>21364.633842772917</v>
      </c>
      <c r="S21" s="57">
        <f>Main!AY8</f>
        <v>615</v>
      </c>
      <c r="T21" s="57">
        <f>Main!AZ8</f>
        <v>1537.5</v>
      </c>
      <c r="U21" s="61">
        <f>Main!BA8</f>
        <v>150</v>
      </c>
      <c r="V21" s="61">
        <f>Main!BB8</f>
        <v>23667.133842772917</v>
      </c>
      <c r="W21" s="13">
        <f>Main!BC8</f>
        <v>6058.7999999999993</v>
      </c>
      <c r="X21" s="28">
        <f>Main!BD8</f>
        <v>29725.933842772916</v>
      </c>
      <c r="Y21" s="28">
        <f>Main!BE8</f>
        <v>6150000</v>
      </c>
      <c r="Z21" s="107">
        <f>Main!BF8</f>
        <v>3.8483144459793362E-3</v>
      </c>
      <c r="AA21"/>
      <c r="AD21" s="67"/>
      <c r="AE21" s="65"/>
      <c r="AF21" s="66"/>
      <c r="AG21" s="66"/>
    </row>
    <row r="22" spans="2:33" hidden="1" x14ac:dyDescent="0.25">
      <c r="B22"/>
      <c r="C22" s="24">
        <f>C21+1</f>
        <v>2</v>
      </c>
      <c r="D22" s="51" t="str">
        <f>Main!D9</f>
        <v>CAD</v>
      </c>
      <c r="E22" s="83">
        <f>Main!E9</f>
        <v>0</v>
      </c>
      <c r="F22"/>
      <c r="G22" s="52">
        <f>Main!W9</f>
        <v>0</v>
      </c>
      <c r="H22" s="6">
        <f>Main!X9</f>
        <v>0</v>
      </c>
      <c r="I22" s="6">
        <f>Main!Y9</f>
        <v>0</v>
      </c>
      <c r="J22" s="53">
        <f>Main!AE9</f>
        <v>0</v>
      </c>
      <c r="K22"/>
      <c r="L22" s="52">
        <f>Main!AI9</f>
        <v>0</v>
      </c>
      <c r="M22" s="53">
        <f>Main!AJ9</f>
        <v>0</v>
      </c>
      <c r="N22"/>
      <c r="O22" s="54">
        <f>Main!AN9</f>
        <v>0</v>
      </c>
      <c r="P22" s="109">
        <f>Main!AO9</f>
        <v>0</v>
      </c>
      <c r="Q22"/>
      <c r="R22" s="27">
        <f>Main!AX9</f>
        <v>0</v>
      </c>
      <c r="S22" s="57">
        <f>Main!AY9</f>
        <v>0</v>
      </c>
      <c r="T22" s="57">
        <f>Main!AZ9</f>
        <v>0</v>
      </c>
      <c r="U22" s="61">
        <f>Main!BA9</f>
        <v>0</v>
      </c>
      <c r="V22" s="61">
        <f>Main!BB9</f>
        <v>0</v>
      </c>
      <c r="W22" s="13">
        <f>Main!BC9</f>
        <v>0</v>
      </c>
      <c r="X22" s="28">
        <f>Main!BD9</f>
        <v>0</v>
      </c>
      <c r="Y22" s="28">
        <f>Main!BE9</f>
        <v>0</v>
      </c>
      <c r="Z22" s="107" t="str">
        <f>Main!BF9</f>
        <v/>
      </c>
      <c r="AA22"/>
      <c r="AE22" s="65"/>
      <c r="AF22" s="66"/>
      <c r="AG22" s="66"/>
    </row>
    <row r="23" spans="2:33" hidden="1" x14ac:dyDescent="0.25">
      <c r="B23"/>
      <c r="C23" s="24">
        <f t="shared" ref="C23:C86" si="0">C22+1</f>
        <v>3</v>
      </c>
      <c r="D23" s="51" t="str">
        <f>Main!D10</f>
        <v>CAD</v>
      </c>
      <c r="E23" s="83">
        <f>Main!E10</f>
        <v>0</v>
      </c>
      <c r="F23"/>
      <c r="G23" s="52">
        <f>Main!W10</f>
        <v>0</v>
      </c>
      <c r="H23" s="6">
        <f>Main!X10</f>
        <v>0</v>
      </c>
      <c r="I23" s="6">
        <f>Main!Y10</f>
        <v>0</v>
      </c>
      <c r="J23" s="53">
        <f>Main!AE10</f>
        <v>0</v>
      </c>
      <c r="K23"/>
      <c r="L23" s="52">
        <f>Main!AI10</f>
        <v>0</v>
      </c>
      <c r="M23" s="53">
        <f>Main!AJ10</f>
        <v>0</v>
      </c>
      <c r="N23"/>
      <c r="O23" s="54">
        <f>Main!AN10</f>
        <v>0</v>
      </c>
      <c r="P23" s="109">
        <f>Main!AO10</f>
        <v>0</v>
      </c>
      <c r="Q23"/>
      <c r="R23" s="27">
        <f>Main!AX10</f>
        <v>0</v>
      </c>
      <c r="S23" s="57">
        <f>Main!AY10</f>
        <v>0</v>
      </c>
      <c r="T23" s="57">
        <f>Main!AZ10</f>
        <v>0</v>
      </c>
      <c r="U23" s="61">
        <f>Main!BA10</f>
        <v>0</v>
      </c>
      <c r="V23" s="61">
        <f>Main!BB10</f>
        <v>0</v>
      </c>
      <c r="W23" s="13">
        <f>Main!BC10</f>
        <v>0</v>
      </c>
      <c r="X23" s="28">
        <f>Main!BD10</f>
        <v>0</v>
      </c>
      <c r="Y23" s="28">
        <f>Main!BE10</f>
        <v>0</v>
      </c>
      <c r="Z23" s="107" t="str">
        <f>Main!BF10</f>
        <v/>
      </c>
      <c r="AA23"/>
      <c r="AE23" s="65"/>
      <c r="AF23" s="66"/>
    </row>
    <row r="24" spans="2:33" hidden="1" x14ac:dyDescent="0.25">
      <c r="B24"/>
      <c r="C24" s="24">
        <f t="shared" si="0"/>
        <v>4</v>
      </c>
      <c r="D24" s="51" t="str">
        <f>Main!D11</f>
        <v>CAD</v>
      </c>
      <c r="E24" s="83">
        <f>Main!E11</f>
        <v>0</v>
      </c>
      <c r="F24"/>
      <c r="G24" s="52">
        <f>Main!W11</f>
        <v>0</v>
      </c>
      <c r="H24" s="6">
        <f>Main!X11</f>
        <v>0</v>
      </c>
      <c r="I24" s="6">
        <f>Main!Y11</f>
        <v>0</v>
      </c>
      <c r="J24" s="53">
        <f>Main!AE11</f>
        <v>0</v>
      </c>
      <c r="K24"/>
      <c r="L24" s="52">
        <f>Main!AI11</f>
        <v>0</v>
      </c>
      <c r="M24" s="53">
        <f>Main!AJ11</f>
        <v>0</v>
      </c>
      <c r="N24"/>
      <c r="O24" s="54">
        <f>Main!AN11</f>
        <v>0</v>
      </c>
      <c r="P24" s="109">
        <f>Main!AO11</f>
        <v>0</v>
      </c>
      <c r="Q24"/>
      <c r="R24" s="27">
        <f>Main!AX11</f>
        <v>0</v>
      </c>
      <c r="S24" s="57">
        <f>Main!AY11</f>
        <v>0</v>
      </c>
      <c r="T24" s="57">
        <f>Main!AZ11</f>
        <v>0</v>
      </c>
      <c r="U24" s="61">
        <f>Main!BA11</f>
        <v>0</v>
      </c>
      <c r="V24" s="61">
        <f>Main!BB11</f>
        <v>0</v>
      </c>
      <c r="W24" s="13">
        <f>Main!BC11</f>
        <v>0</v>
      </c>
      <c r="X24" s="28">
        <f>Main!BD11</f>
        <v>0</v>
      </c>
      <c r="Y24" s="28">
        <f>Main!BE11</f>
        <v>0</v>
      </c>
      <c r="Z24" s="107" t="str">
        <f>Main!BF11</f>
        <v/>
      </c>
      <c r="AA24"/>
    </row>
    <row r="25" spans="2:33" hidden="1" x14ac:dyDescent="0.25">
      <c r="B25"/>
      <c r="C25" s="24">
        <f t="shared" si="0"/>
        <v>5</v>
      </c>
      <c r="D25" s="51" t="str">
        <f>Main!D12</f>
        <v>CAD</v>
      </c>
      <c r="E25" s="83">
        <f>Main!E12</f>
        <v>0</v>
      </c>
      <c r="F25"/>
      <c r="G25" s="52">
        <f>Main!W12</f>
        <v>0</v>
      </c>
      <c r="H25" s="6">
        <f>Main!X12</f>
        <v>0</v>
      </c>
      <c r="I25" s="6">
        <f>Main!Y12</f>
        <v>0</v>
      </c>
      <c r="J25" s="53">
        <f>Main!AE12</f>
        <v>0</v>
      </c>
      <c r="K25"/>
      <c r="L25" s="52">
        <f>Main!AI12</f>
        <v>0</v>
      </c>
      <c r="M25" s="53">
        <f>Main!AJ12</f>
        <v>0</v>
      </c>
      <c r="N25"/>
      <c r="O25" s="54">
        <f>Main!AN12</f>
        <v>0</v>
      </c>
      <c r="P25" s="109">
        <f>Main!AO12</f>
        <v>0</v>
      </c>
      <c r="Q25"/>
      <c r="R25" s="27">
        <f>Main!AX12</f>
        <v>0</v>
      </c>
      <c r="S25" s="57">
        <f>Main!AY12</f>
        <v>0</v>
      </c>
      <c r="T25" s="57">
        <f>Main!AZ12</f>
        <v>0</v>
      </c>
      <c r="U25" s="61">
        <f>Main!BA12</f>
        <v>0</v>
      </c>
      <c r="V25" s="61">
        <f>Main!BB12</f>
        <v>0</v>
      </c>
      <c r="W25" s="13">
        <f>Main!BC12</f>
        <v>0</v>
      </c>
      <c r="X25" s="28">
        <f>Main!BD12</f>
        <v>0</v>
      </c>
      <c r="Y25" s="28">
        <f>Main!BE12</f>
        <v>0</v>
      </c>
      <c r="Z25" s="107" t="str">
        <f>Main!BF12</f>
        <v/>
      </c>
      <c r="AA25"/>
    </row>
    <row r="26" spans="2:33" hidden="1" x14ac:dyDescent="0.25">
      <c r="B26"/>
      <c r="C26" s="24">
        <f t="shared" si="0"/>
        <v>6</v>
      </c>
      <c r="D26" s="51" t="str">
        <f>Main!D13</f>
        <v>CAD</v>
      </c>
      <c r="E26" s="83">
        <f>Main!E13</f>
        <v>0</v>
      </c>
      <c r="F26"/>
      <c r="G26" s="52">
        <f>Main!W13</f>
        <v>0</v>
      </c>
      <c r="H26" s="6">
        <f>Main!X13</f>
        <v>0</v>
      </c>
      <c r="I26" s="6">
        <f>Main!Y13</f>
        <v>0</v>
      </c>
      <c r="J26" s="53">
        <f>Main!AE13</f>
        <v>0</v>
      </c>
      <c r="K26"/>
      <c r="L26" s="52">
        <f>Main!AI13</f>
        <v>0</v>
      </c>
      <c r="M26" s="53">
        <f>Main!AJ13</f>
        <v>0</v>
      </c>
      <c r="N26"/>
      <c r="O26" s="54">
        <f>Main!AN13</f>
        <v>0</v>
      </c>
      <c r="P26" s="109">
        <f>Main!AO13</f>
        <v>0</v>
      </c>
      <c r="Q26"/>
      <c r="R26" s="27">
        <f>Main!AX13</f>
        <v>0</v>
      </c>
      <c r="S26" s="57">
        <f>Main!AY13</f>
        <v>0</v>
      </c>
      <c r="T26" s="57">
        <f>Main!AZ13</f>
        <v>0</v>
      </c>
      <c r="U26" s="61">
        <f>Main!BA13</f>
        <v>0</v>
      </c>
      <c r="V26" s="61">
        <f>Main!BB13</f>
        <v>0</v>
      </c>
      <c r="W26" s="13">
        <f>Main!BC13</f>
        <v>0</v>
      </c>
      <c r="X26" s="28">
        <f>Main!BD13</f>
        <v>0</v>
      </c>
      <c r="Y26" s="28">
        <f>Main!BE13</f>
        <v>0</v>
      </c>
      <c r="Z26" s="107" t="str">
        <f>Main!BF13</f>
        <v/>
      </c>
      <c r="AA26"/>
    </row>
    <row r="27" spans="2:33" hidden="1" x14ac:dyDescent="0.25">
      <c r="B27"/>
      <c r="C27" s="24">
        <f t="shared" si="0"/>
        <v>7</v>
      </c>
      <c r="D27" s="51" t="str">
        <f>Main!D14</f>
        <v>CAD</v>
      </c>
      <c r="E27" s="83">
        <f>Main!E14</f>
        <v>0</v>
      </c>
      <c r="F27"/>
      <c r="G27" s="52">
        <f>Main!W14</f>
        <v>0</v>
      </c>
      <c r="H27" s="6">
        <f>Main!X14</f>
        <v>0</v>
      </c>
      <c r="I27" s="6">
        <f>Main!Y14</f>
        <v>0</v>
      </c>
      <c r="J27" s="53">
        <f>Main!AE14</f>
        <v>0</v>
      </c>
      <c r="K27"/>
      <c r="L27" s="52">
        <f>Main!AI14</f>
        <v>0</v>
      </c>
      <c r="M27" s="53">
        <f>Main!AJ14</f>
        <v>0</v>
      </c>
      <c r="N27"/>
      <c r="O27" s="54">
        <f>Main!AN14</f>
        <v>0</v>
      </c>
      <c r="P27" s="109">
        <f>Main!AO14</f>
        <v>0</v>
      </c>
      <c r="Q27"/>
      <c r="R27" s="27">
        <f>Main!AX14</f>
        <v>0</v>
      </c>
      <c r="S27" s="57">
        <f>Main!AY14</f>
        <v>0</v>
      </c>
      <c r="T27" s="57">
        <f>Main!AZ14</f>
        <v>0</v>
      </c>
      <c r="U27" s="61">
        <f>Main!BA14</f>
        <v>0</v>
      </c>
      <c r="V27" s="61">
        <f>Main!BB14</f>
        <v>0</v>
      </c>
      <c r="W27" s="13">
        <f>Main!BC14</f>
        <v>0</v>
      </c>
      <c r="X27" s="28">
        <f>Main!BD14</f>
        <v>0</v>
      </c>
      <c r="Y27" s="28">
        <f>Main!BE14</f>
        <v>0</v>
      </c>
      <c r="Z27" s="107" t="str">
        <f>Main!BF14</f>
        <v/>
      </c>
      <c r="AA27"/>
    </row>
    <row r="28" spans="2:33" hidden="1" x14ac:dyDescent="0.25">
      <c r="B28"/>
      <c r="C28" s="24">
        <f t="shared" si="0"/>
        <v>8</v>
      </c>
      <c r="D28" s="51" t="str">
        <f>Main!D15</f>
        <v>CAD</v>
      </c>
      <c r="E28" s="83">
        <f>Main!E15</f>
        <v>0</v>
      </c>
      <c r="F28"/>
      <c r="G28" s="52">
        <f>Main!W15</f>
        <v>0</v>
      </c>
      <c r="H28" s="6">
        <f>Main!X15</f>
        <v>0</v>
      </c>
      <c r="I28" s="6">
        <f>Main!Y15</f>
        <v>0</v>
      </c>
      <c r="J28" s="53">
        <f>Main!AE15</f>
        <v>0</v>
      </c>
      <c r="K28"/>
      <c r="L28" s="52">
        <f>Main!AI15</f>
        <v>0</v>
      </c>
      <c r="M28" s="53">
        <f>Main!AJ15</f>
        <v>0</v>
      </c>
      <c r="N28"/>
      <c r="O28" s="54">
        <f>Main!AN15</f>
        <v>0</v>
      </c>
      <c r="P28" s="109">
        <f>Main!AO15</f>
        <v>0</v>
      </c>
      <c r="Q28"/>
      <c r="R28" s="27">
        <f>Main!AX15</f>
        <v>0</v>
      </c>
      <c r="S28" s="57">
        <f>Main!AY15</f>
        <v>0</v>
      </c>
      <c r="T28" s="57">
        <f>Main!AZ15</f>
        <v>0</v>
      </c>
      <c r="U28" s="61">
        <f>Main!BA15</f>
        <v>0</v>
      </c>
      <c r="V28" s="61">
        <f>Main!BB15</f>
        <v>0</v>
      </c>
      <c r="W28" s="13">
        <f>Main!BC15</f>
        <v>0</v>
      </c>
      <c r="X28" s="28">
        <f>Main!BD15</f>
        <v>0</v>
      </c>
      <c r="Y28" s="28">
        <f>Main!BE15</f>
        <v>0</v>
      </c>
      <c r="Z28" s="107" t="str">
        <f>Main!BF15</f>
        <v/>
      </c>
      <c r="AA28"/>
    </row>
    <row r="29" spans="2:33" hidden="1" x14ac:dyDescent="0.25">
      <c r="B29"/>
      <c r="C29" s="24">
        <f t="shared" si="0"/>
        <v>9</v>
      </c>
      <c r="D29" s="51" t="str">
        <f>Main!D16</f>
        <v>CAD</v>
      </c>
      <c r="E29" s="83">
        <f>Main!E16</f>
        <v>0</v>
      </c>
      <c r="F29"/>
      <c r="G29" s="52">
        <f>Main!W16</f>
        <v>0</v>
      </c>
      <c r="H29" s="6">
        <f>Main!X16</f>
        <v>0</v>
      </c>
      <c r="I29" s="6">
        <f>Main!Y16</f>
        <v>0</v>
      </c>
      <c r="J29" s="53">
        <f>Main!AE16</f>
        <v>0</v>
      </c>
      <c r="K29"/>
      <c r="L29" s="52">
        <f>Main!AI16</f>
        <v>0</v>
      </c>
      <c r="M29" s="53">
        <f>Main!AJ16</f>
        <v>0</v>
      </c>
      <c r="N29"/>
      <c r="O29" s="54">
        <f>Main!AN16</f>
        <v>0</v>
      </c>
      <c r="P29" s="109">
        <f>Main!AO16</f>
        <v>0</v>
      </c>
      <c r="Q29"/>
      <c r="R29" s="27">
        <f>Main!AX16</f>
        <v>0</v>
      </c>
      <c r="S29" s="57">
        <f>Main!AY16</f>
        <v>0</v>
      </c>
      <c r="T29" s="57">
        <f>Main!AZ16</f>
        <v>0</v>
      </c>
      <c r="U29" s="61">
        <f>Main!BA16</f>
        <v>0</v>
      </c>
      <c r="V29" s="61">
        <f>Main!BB16</f>
        <v>0</v>
      </c>
      <c r="W29" s="13">
        <f>Main!BC16</f>
        <v>0</v>
      </c>
      <c r="X29" s="28">
        <f>Main!BD16</f>
        <v>0</v>
      </c>
      <c r="Y29" s="28">
        <f>Main!BE16</f>
        <v>0</v>
      </c>
      <c r="Z29" s="107" t="str">
        <f>Main!BF16</f>
        <v/>
      </c>
      <c r="AA29"/>
    </row>
    <row r="30" spans="2:33" hidden="1" x14ac:dyDescent="0.25">
      <c r="B30"/>
      <c r="C30" s="24">
        <f t="shared" si="0"/>
        <v>10</v>
      </c>
      <c r="D30" s="51" t="str">
        <f>Main!D17</f>
        <v>CAD</v>
      </c>
      <c r="E30" s="83">
        <f>Main!E17</f>
        <v>0</v>
      </c>
      <c r="F30"/>
      <c r="G30" s="52">
        <f>Main!W17</f>
        <v>0</v>
      </c>
      <c r="H30" s="6">
        <f>Main!X17</f>
        <v>0</v>
      </c>
      <c r="I30" s="6">
        <f>Main!Y17</f>
        <v>0</v>
      </c>
      <c r="J30" s="53">
        <f>Main!AE17</f>
        <v>0</v>
      </c>
      <c r="K30"/>
      <c r="L30" s="52">
        <f>Main!AI17</f>
        <v>0</v>
      </c>
      <c r="M30" s="53">
        <f>Main!AJ17</f>
        <v>0</v>
      </c>
      <c r="N30"/>
      <c r="O30" s="54">
        <f>Main!AN17</f>
        <v>0</v>
      </c>
      <c r="P30" s="109">
        <f>Main!AO17</f>
        <v>0</v>
      </c>
      <c r="Q30"/>
      <c r="R30" s="27">
        <f>Main!AX17</f>
        <v>0</v>
      </c>
      <c r="S30" s="57">
        <f>Main!AY17</f>
        <v>0</v>
      </c>
      <c r="T30" s="57">
        <f>Main!AZ17</f>
        <v>0</v>
      </c>
      <c r="U30" s="61">
        <f>Main!BA17</f>
        <v>0</v>
      </c>
      <c r="V30" s="61">
        <f>Main!BB17</f>
        <v>0</v>
      </c>
      <c r="W30" s="13">
        <f>Main!BC17</f>
        <v>0</v>
      </c>
      <c r="X30" s="28">
        <f>Main!BD17</f>
        <v>0</v>
      </c>
      <c r="Y30" s="28">
        <f>Main!BE17</f>
        <v>0</v>
      </c>
      <c r="Z30" s="107" t="str">
        <f>Main!BF17</f>
        <v/>
      </c>
      <c r="AA30"/>
    </row>
    <row r="31" spans="2:33" hidden="1" x14ac:dyDescent="0.25">
      <c r="B31"/>
      <c r="C31" s="24">
        <f t="shared" si="0"/>
        <v>11</v>
      </c>
      <c r="D31" s="51" t="str">
        <f>Main!D18</f>
        <v>CAD</v>
      </c>
      <c r="E31" s="83">
        <f>Main!E18</f>
        <v>0</v>
      </c>
      <c r="F31"/>
      <c r="G31" s="52">
        <f>Main!W18</f>
        <v>0</v>
      </c>
      <c r="H31" s="6">
        <f>Main!X18</f>
        <v>0</v>
      </c>
      <c r="I31" s="6">
        <f>Main!Y18</f>
        <v>0</v>
      </c>
      <c r="J31" s="53">
        <f>Main!AE18</f>
        <v>0</v>
      </c>
      <c r="K31"/>
      <c r="L31" s="52">
        <f>Main!AI18</f>
        <v>0</v>
      </c>
      <c r="M31" s="53">
        <f>Main!AJ18</f>
        <v>0</v>
      </c>
      <c r="N31"/>
      <c r="O31" s="54">
        <f>Main!AN18</f>
        <v>0</v>
      </c>
      <c r="P31" s="109">
        <f>Main!AO18</f>
        <v>0</v>
      </c>
      <c r="Q31"/>
      <c r="R31" s="27">
        <f>Main!AX18</f>
        <v>0</v>
      </c>
      <c r="S31" s="57">
        <f>Main!AY18</f>
        <v>0</v>
      </c>
      <c r="T31" s="57">
        <f>Main!AZ18</f>
        <v>0</v>
      </c>
      <c r="U31" s="61">
        <f>Main!BA18</f>
        <v>0</v>
      </c>
      <c r="V31" s="61">
        <f>Main!BB18</f>
        <v>0</v>
      </c>
      <c r="W31" s="13">
        <f>Main!BC18</f>
        <v>0</v>
      </c>
      <c r="X31" s="28">
        <f>Main!BD18</f>
        <v>0</v>
      </c>
      <c r="Y31" s="28">
        <f>Main!BE18</f>
        <v>0</v>
      </c>
      <c r="Z31" s="107" t="str">
        <f>Main!BF18</f>
        <v/>
      </c>
      <c r="AA31"/>
    </row>
    <row r="32" spans="2:33" hidden="1" x14ac:dyDescent="0.25">
      <c r="B32"/>
      <c r="C32" s="24">
        <f t="shared" si="0"/>
        <v>12</v>
      </c>
      <c r="D32" s="51" t="str">
        <f>Main!D19</f>
        <v>CAD</v>
      </c>
      <c r="E32" s="83">
        <f>Main!E19</f>
        <v>0</v>
      </c>
      <c r="F32"/>
      <c r="G32" s="52">
        <f>Main!W19</f>
        <v>0</v>
      </c>
      <c r="H32" s="6">
        <f>Main!X19</f>
        <v>0</v>
      </c>
      <c r="I32" s="6">
        <f>Main!Y19</f>
        <v>0</v>
      </c>
      <c r="J32" s="53">
        <f>Main!AE19</f>
        <v>0</v>
      </c>
      <c r="K32"/>
      <c r="L32" s="52">
        <f>Main!AI19</f>
        <v>0</v>
      </c>
      <c r="M32" s="53">
        <f>Main!AJ19</f>
        <v>0</v>
      </c>
      <c r="N32"/>
      <c r="O32" s="54">
        <f>Main!AN19</f>
        <v>0</v>
      </c>
      <c r="P32" s="109">
        <f>Main!AO19</f>
        <v>0</v>
      </c>
      <c r="Q32"/>
      <c r="R32" s="27">
        <f>Main!AX19</f>
        <v>0</v>
      </c>
      <c r="S32" s="57">
        <f>Main!AY19</f>
        <v>0</v>
      </c>
      <c r="T32" s="57">
        <f>Main!AZ19</f>
        <v>0</v>
      </c>
      <c r="U32" s="61">
        <f>Main!BA19</f>
        <v>0</v>
      </c>
      <c r="V32" s="61">
        <f>Main!BB19</f>
        <v>0</v>
      </c>
      <c r="W32" s="13">
        <f>Main!BC19</f>
        <v>0</v>
      </c>
      <c r="X32" s="28">
        <f>Main!BD19</f>
        <v>0</v>
      </c>
      <c r="Y32" s="28">
        <f>Main!BE19</f>
        <v>0</v>
      </c>
      <c r="Z32" s="107" t="str">
        <f>Main!BF19</f>
        <v/>
      </c>
      <c r="AA32"/>
    </row>
    <row r="33" spans="2:27" hidden="1" x14ac:dyDescent="0.25">
      <c r="B33"/>
      <c r="C33" s="24">
        <f t="shared" si="0"/>
        <v>13</v>
      </c>
      <c r="D33" s="51" t="str">
        <f>Main!D20</f>
        <v>CAD</v>
      </c>
      <c r="E33" s="83">
        <f>Main!E20</f>
        <v>0</v>
      </c>
      <c r="F33"/>
      <c r="G33" s="52">
        <f>Main!W20</f>
        <v>0</v>
      </c>
      <c r="H33" s="6">
        <f>Main!X20</f>
        <v>0</v>
      </c>
      <c r="I33" s="6">
        <f>Main!Y20</f>
        <v>0</v>
      </c>
      <c r="J33" s="53">
        <f>Main!AE20</f>
        <v>0</v>
      </c>
      <c r="K33"/>
      <c r="L33" s="52">
        <f>Main!AI20</f>
        <v>0</v>
      </c>
      <c r="M33" s="53">
        <f>Main!AJ20</f>
        <v>0</v>
      </c>
      <c r="N33"/>
      <c r="O33" s="54">
        <f>Main!AN20</f>
        <v>0</v>
      </c>
      <c r="P33" s="109">
        <f>Main!AO20</f>
        <v>0</v>
      </c>
      <c r="Q33"/>
      <c r="R33" s="27">
        <f>Main!AX20</f>
        <v>0</v>
      </c>
      <c r="S33" s="57">
        <f>Main!AY20</f>
        <v>0</v>
      </c>
      <c r="T33" s="57">
        <f>Main!AZ20</f>
        <v>0</v>
      </c>
      <c r="U33" s="61">
        <f>Main!BA20</f>
        <v>0</v>
      </c>
      <c r="V33" s="61">
        <f>Main!BB20</f>
        <v>0</v>
      </c>
      <c r="W33" s="13">
        <f>Main!BC20</f>
        <v>0</v>
      </c>
      <c r="X33" s="28">
        <f>Main!BD20</f>
        <v>0</v>
      </c>
      <c r="Y33" s="28">
        <f>Main!BE20</f>
        <v>0</v>
      </c>
      <c r="Z33" s="107" t="str">
        <f>Main!BF20</f>
        <v/>
      </c>
      <c r="AA33"/>
    </row>
    <row r="34" spans="2:27" hidden="1" x14ac:dyDescent="0.25">
      <c r="B34"/>
      <c r="C34" s="24">
        <f t="shared" si="0"/>
        <v>14</v>
      </c>
      <c r="D34" s="51" t="str">
        <f>Main!D21</f>
        <v>CAD</v>
      </c>
      <c r="E34" s="83">
        <f>Main!E21</f>
        <v>0</v>
      </c>
      <c r="F34"/>
      <c r="G34" s="52">
        <f>Main!W21</f>
        <v>0</v>
      </c>
      <c r="H34" s="6">
        <f>Main!X21</f>
        <v>0</v>
      </c>
      <c r="I34" s="6">
        <f>Main!Y21</f>
        <v>0</v>
      </c>
      <c r="J34" s="53">
        <f>Main!AE21</f>
        <v>0</v>
      </c>
      <c r="K34"/>
      <c r="L34" s="52">
        <f>Main!AI21</f>
        <v>0</v>
      </c>
      <c r="M34" s="53">
        <f>Main!AJ21</f>
        <v>0</v>
      </c>
      <c r="N34"/>
      <c r="O34" s="54">
        <f>Main!AN21</f>
        <v>0</v>
      </c>
      <c r="P34" s="109">
        <f>Main!AO21</f>
        <v>0</v>
      </c>
      <c r="Q34"/>
      <c r="R34" s="27">
        <f>Main!AX21</f>
        <v>0</v>
      </c>
      <c r="S34" s="57">
        <f>Main!AY21</f>
        <v>0</v>
      </c>
      <c r="T34" s="57">
        <f>Main!AZ21</f>
        <v>0</v>
      </c>
      <c r="U34" s="61">
        <f>Main!BA21</f>
        <v>0</v>
      </c>
      <c r="V34" s="61">
        <f>Main!BB21</f>
        <v>0</v>
      </c>
      <c r="W34" s="13">
        <f>Main!BC21</f>
        <v>0</v>
      </c>
      <c r="X34" s="28">
        <f>Main!BD21</f>
        <v>0</v>
      </c>
      <c r="Y34" s="28">
        <f>Main!BE21</f>
        <v>0</v>
      </c>
      <c r="Z34" s="107" t="str">
        <f>Main!BF21</f>
        <v/>
      </c>
      <c r="AA34"/>
    </row>
    <row r="35" spans="2:27" hidden="1" x14ac:dyDescent="0.25">
      <c r="B35"/>
      <c r="C35" s="24">
        <f t="shared" si="0"/>
        <v>15</v>
      </c>
      <c r="D35" s="51" t="str">
        <f>Main!D22</f>
        <v>CAD</v>
      </c>
      <c r="E35" s="83">
        <f>Main!E22</f>
        <v>0</v>
      </c>
      <c r="F35"/>
      <c r="G35" s="52">
        <f>Main!W22</f>
        <v>0</v>
      </c>
      <c r="H35" s="6">
        <f>Main!X22</f>
        <v>0</v>
      </c>
      <c r="I35" s="6">
        <f>Main!Y22</f>
        <v>0</v>
      </c>
      <c r="J35" s="53">
        <f>Main!AE22</f>
        <v>0</v>
      </c>
      <c r="K35"/>
      <c r="L35" s="52">
        <f>Main!AI22</f>
        <v>0</v>
      </c>
      <c r="M35" s="53">
        <f>Main!AJ22</f>
        <v>0</v>
      </c>
      <c r="N35"/>
      <c r="O35" s="54">
        <f>Main!AN22</f>
        <v>0</v>
      </c>
      <c r="P35" s="109">
        <f>Main!AO22</f>
        <v>0</v>
      </c>
      <c r="Q35"/>
      <c r="R35" s="27">
        <f>Main!AX22</f>
        <v>0</v>
      </c>
      <c r="S35" s="57">
        <f>Main!AY22</f>
        <v>0</v>
      </c>
      <c r="T35" s="57">
        <f>Main!AZ22</f>
        <v>0</v>
      </c>
      <c r="U35" s="61">
        <f>Main!BA22</f>
        <v>0</v>
      </c>
      <c r="V35" s="61">
        <f>Main!BB22</f>
        <v>0</v>
      </c>
      <c r="W35" s="13">
        <f>Main!BC22</f>
        <v>0</v>
      </c>
      <c r="X35" s="28">
        <f>Main!BD22</f>
        <v>0</v>
      </c>
      <c r="Y35" s="28">
        <f>Main!BE22</f>
        <v>0</v>
      </c>
      <c r="Z35" s="107" t="str">
        <f>Main!BF22</f>
        <v/>
      </c>
      <c r="AA35"/>
    </row>
    <row r="36" spans="2:27" hidden="1" x14ac:dyDescent="0.25">
      <c r="B36"/>
      <c r="C36" s="24">
        <f t="shared" si="0"/>
        <v>16</v>
      </c>
      <c r="D36" s="51" t="str">
        <f>Main!D23</f>
        <v>CAD</v>
      </c>
      <c r="E36" s="83">
        <f>Main!E23</f>
        <v>0</v>
      </c>
      <c r="F36"/>
      <c r="G36" s="52">
        <f>Main!W23</f>
        <v>0</v>
      </c>
      <c r="H36" s="6">
        <f>Main!X23</f>
        <v>0</v>
      </c>
      <c r="I36" s="6">
        <f>Main!Y23</f>
        <v>0</v>
      </c>
      <c r="J36" s="53">
        <f>Main!AE23</f>
        <v>0</v>
      </c>
      <c r="K36"/>
      <c r="L36" s="52">
        <f>Main!AI23</f>
        <v>0</v>
      </c>
      <c r="M36" s="53">
        <f>Main!AJ23</f>
        <v>0</v>
      </c>
      <c r="N36"/>
      <c r="O36" s="54">
        <f>Main!AN23</f>
        <v>0</v>
      </c>
      <c r="P36" s="109">
        <f>Main!AO23</f>
        <v>0</v>
      </c>
      <c r="Q36"/>
      <c r="R36" s="27">
        <f>Main!AX23</f>
        <v>0</v>
      </c>
      <c r="S36" s="57">
        <f>Main!AY23</f>
        <v>0</v>
      </c>
      <c r="T36" s="57">
        <f>Main!AZ23</f>
        <v>0</v>
      </c>
      <c r="U36" s="61">
        <f>Main!BA23</f>
        <v>0</v>
      </c>
      <c r="V36" s="61">
        <f>Main!BB23</f>
        <v>0</v>
      </c>
      <c r="W36" s="13">
        <f>Main!BC23</f>
        <v>0</v>
      </c>
      <c r="X36" s="28">
        <f>Main!BD23</f>
        <v>0</v>
      </c>
      <c r="Y36" s="28">
        <f>Main!BE23</f>
        <v>0</v>
      </c>
      <c r="Z36" s="107" t="str">
        <f>Main!BF23</f>
        <v/>
      </c>
      <c r="AA36"/>
    </row>
    <row r="37" spans="2:27" hidden="1" x14ac:dyDescent="0.25">
      <c r="B37"/>
      <c r="C37" s="24">
        <f t="shared" si="0"/>
        <v>17</v>
      </c>
      <c r="D37" s="51" t="str">
        <f>Main!D24</f>
        <v>CAD</v>
      </c>
      <c r="E37" s="83">
        <f>Main!E24</f>
        <v>0</v>
      </c>
      <c r="F37"/>
      <c r="G37" s="52">
        <f>Main!W24</f>
        <v>0</v>
      </c>
      <c r="H37" s="6">
        <f>Main!X24</f>
        <v>0</v>
      </c>
      <c r="I37" s="6">
        <f>Main!Y24</f>
        <v>0</v>
      </c>
      <c r="J37" s="53">
        <f>Main!AE24</f>
        <v>0</v>
      </c>
      <c r="K37"/>
      <c r="L37" s="52">
        <f>Main!AI24</f>
        <v>0</v>
      </c>
      <c r="M37" s="53">
        <f>Main!AJ24</f>
        <v>0</v>
      </c>
      <c r="N37"/>
      <c r="O37" s="54">
        <f>Main!AN24</f>
        <v>0</v>
      </c>
      <c r="P37" s="109">
        <f>Main!AO24</f>
        <v>0</v>
      </c>
      <c r="Q37"/>
      <c r="R37" s="27">
        <f>Main!AX24</f>
        <v>0</v>
      </c>
      <c r="S37" s="57">
        <f>Main!AY24</f>
        <v>0</v>
      </c>
      <c r="T37" s="57">
        <f>Main!AZ24</f>
        <v>0</v>
      </c>
      <c r="U37" s="61">
        <f>Main!BA24</f>
        <v>0</v>
      </c>
      <c r="V37" s="61">
        <f>Main!BB24</f>
        <v>0</v>
      </c>
      <c r="W37" s="13">
        <f>Main!BC24</f>
        <v>0</v>
      </c>
      <c r="X37" s="28">
        <f>Main!BD24</f>
        <v>0</v>
      </c>
      <c r="Y37" s="28">
        <f>Main!BE24</f>
        <v>0</v>
      </c>
      <c r="Z37" s="107" t="str">
        <f>Main!BF24</f>
        <v/>
      </c>
      <c r="AA37"/>
    </row>
    <row r="38" spans="2:27" hidden="1" x14ac:dyDescent="0.25">
      <c r="B38"/>
      <c r="C38" s="24">
        <f t="shared" si="0"/>
        <v>18</v>
      </c>
      <c r="D38" s="51" t="str">
        <f>Main!D25</f>
        <v>CAD</v>
      </c>
      <c r="E38" s="83">
        <f>Main!E25</f>
        <v>0</v>
      </c>
      <c r="F38"/>
      <c r="G38" s="52">
        <f>Main!W25</f>
        <v>0</v>
      </c>
      <c r="H38" s="6">
        <f>Main!X25</f>
        <v>0</v>
      </c>
      <c r="I38" s="6">
        <f>Main!Y25</f>
        <v>0</v>
      </c>
      <c r="J38" s="53">
        <f>Main!AE25</f>
        <v>0</v>
      </c>
      <c r="K38"/>
      <c r="L38" s="52">
        <f>Main!AI25</f>
        <v>0</v>
      </c>
      <c r="M38" s="53">
        <f>Main!AJ25</f>
        <v>0</v>
      </c>
      <c r="N38"/>
      <c r="O38" s="54">
        <f>Main!AN25</f>
        <v>0</v>
      </c>
      <c r="P38" s="109">
        <f>Main!AO25</f>
        <v>0</v>
      </c>
      <c r="Q38"/>
      <c r="R38" s="27">
        <f>Main!AX25</f>
        <v>0</v>
      </c>
      <c r="S38" s="57">
        <f>Main!AY25</f>
        <v>0</v>
      </c>
      <c r="T38" s="57">
        <f>Main!AZ25</f>
        <v>0</v>
      </c>
      <c r="U38" s="61">
        <f>Main!BA25</f>
        <v>0</v>
      </c>
      <c r="V38" s="61">
        <f>Main!BB25</f>
        <v>0</v>
      </c>
      <c r="W38" s="13">
        <f>Main!BC25</f>
        <v>0</v>
      </c>
      <c r="X38" s="28">
        <f>Main!BD25</f>
        <v>0</v>
      </c>
      <c r="Y38" s="28">
        <f>Main!BE25</f>
        <v>0</v>
      </c>
      <c r="Z38" s="107" t="str">
        <f>Main!BF25</f>
        <v/>
      </c>
      <c r="AA38"/>
    </row>
    <row r="39" spans="2:27" hidden="1" x14ac:dyDescent="0.25">
      <c r="B39"/>
      <c r="C39" s="24">
        <f t="shared" si="0"/>
        <v>19</v>
      </c>
      <c r="D39" s="51" t="str">
        <f>Main!D26</f>
        <v>CAD</v>
      </c>
      <c r="E39" s="83">
        <f>Main!E26</f>
        <v>0</v>
      </c>
      <c r="F39"/>
      <c r="G39" s="52">
        <f>Main!W26</f>
        <v>0</v>
      </c>
      <c r="H39" s="6">
        <f>Main!X26</f>
        <v>0</v>
      </c>
      <c r="I39" s="6">
        <f>Main!Y26</f>
        <v>0</v>
      </c>
      <c r="J39" s="53">
        <f>Main!AE26</f>
        <v>0</v>
      </c>
      <c r="K39"/>
      <c r="L39" s="52">
        <f>Main!AI26</f>
        <v>0</v>
      </c>
      <c r="M39" s="53">
        <f>Main!AJ26</f>
        <v>0</v>
      </c>
      <c r="N39"/>
      <c r="O39" s="54">
        <f>Main!AN26</f>
        <v>0</v>
      </c>
      <c r="P39" s="109">
        <f>Main!AO26</f>
        <v>0</v>
      </c>
      <c r="Q39"/>
      <c r="R39" s="27">
        <f>Main!AX26</f>
        <v>0</v>
      </c>
      <c r="S39" s="57">
        <f>Main!AY26</f>
        <v>0</v>
      </c>
      <c r="T39" s="57">
        <f>Main!AZ26</f>
        <v>0</v>
      </c>
      <c r="U39" s="61">
        <f>Main!BA26</f>
        <v>0</v>
      </c>
      <c r="V39" s="61">
        <f>Main!BB26</f>
        <v>0</v>
      </c>
      <c r="W39" s="13">
        <f>Main!BC26</f>
        <v>0</v>
      </c>
      <c r="X39" s="28">
        <f>Main!BD26</f>
        <v>0</v>
      </c>
      <c r="Y39" s="28">
        <f>Main!BE26</f>
        <v>0</v>
      </c>
      <c r="Z39" s="107" t="str">
        <f>Main!BF26</f>
        <v/>
      </c>
      <c r="AA39"/>
    </row>
    <row r="40" spans="2:27" hidden="1" x14ac:dyDescent="0.25">
      <c r="B40"/>
      <c r="C40" s="24">
        <f t="shared" si="0"/>
        <v>20</v>
      </c>
      <c r="D40" s="51" t="str">
        <f>Main!D27</f>
        <v>CAD</v>
      </c>
      <c r="E40" s="83">
        <f>Main!E27</f>
        <v>0</v>
      </c>
      <c r="F40"/>
      <c r="G40" s="52">
        <f>Main!W27</f>
        <v>0</v>
      </c>
      <c r="H40" s="6">
        <f>Main!X27</f>
        <v>0</v>
      </c>
      <c r="I40" s="6">
        <f>Main!Y27</f>
        <v>0</v>
      </c>
      <c r="J40" s="53">
        <f>Main!AE27</f>
        <v>0</v>
      </c>
      <c r="K40"/>
      <c r="L40" s="52">
        <f>Main!AI27</f>
        <v>0</v>
      </c>
      <c r="M40" s="53">
        <f>Main!AJ27</f>
        <v>0</v>
      </c>
      <c r="N40"/>
      <c r="O40" s="54">
        <f>Main!AN27</f>
        <v>0</v>
      </c>
      <c r="P40" s="109">
        <f>Main!AO27</f>
        <v>0</v>
      </c>
      <c r="Q40"/>
      <c r="R40" s="27">
        <f>Main!AX27</f>
        <v>0</v>
      </c>
      <c r="S40" s="57">
        <f>Main!AY27</f>
        <v>0</v>
      </c>
      <c r="T40" s="57">
        <f>Main!AZ27</f>
        <v>0</v>
      </c>
      <c r="U40" s="61">
        <f>Main!BA27</f>
        <v>0</v>
      </c>
      <c r="V40" s="61">
        <f>Main!BB27</f>
        <v>0</v>
      </c>
      <c r="W40" s="13">
        <f>Main!BC27</f>
        <v>0</v>
      </c>
      <c r="X40" s="28">
        <f>Main!BD27</f>
        <v>0</v>
      </c>
      <c r="Y40" s="28">
        <f>Main!BE27</f>
        <v>0</v>
      </c>
      <c r="Z40" s="107" t="str">
        <f>Main!BF27</f>
        <v/>
      </c>
      <c r="AA40"/>
    </row>
    <row r="41" spans="2:27" hidden="1" x14ac:dyDescent="0.25">
      <c r="B41"/>
      <c r="C41" s="24">
        <f t="shared" si="0"/>
        <v>21</v>
      </c>
      <c r="D41" s="51" t="str">
        <f>Main!D28</f>
        <v>CAD</v>
      </c>
      <c r="E41" s="83">
        <f>Main!E28</f>
        <v>0</v>
      </c>
      <c r="F41"/>
      <c r="G41" s="52">
        <f>Main!W28</f>
        <v>0</v>
      </c>
      <c r="H41" s="6">
        <f>Main!X28</f>
        <v>0</v>
      </c>
      <c r="I41" s="6">
        <f>Main!Y28</f>
        <v>0</v>
      </c>
      <c r="J41" s="53">
        <f>Main!AE28</f>
        <v>0</v>
      </c>
      <c r="K41"/>
      <c r="L41" s="52">
        <f>Main!AI28</f>
        <v>0</v>
      </c>
      <c r="M41" s="53">
        <f>Main!AJ28</f>
        <v>0</v>
      </c>
      <c r="N41"/>
      <c r="O41" s="54">
        <f>Main!AN28</f>
        <v>0</v>
      </c>
      <c r="P41" s="109">
        <f>Main!AO28</f>
        <v>0</v>
      </c>
      <c r="Q41"/>
      <c r="R41" s="27">
        <f>Main!AX28</f>
        <v>0</v>
      </c>
      <c r="S41" s="57">
        <f>Main!AY28</f>
        <v>0</v>
      </c>
      <c r="T41" s="57">
        <f>Main!AZ28</f>
        <v>0</v>
      </c>
      <c r="U41" s="61">
        <f>Main!BA28</f>
        <v>0</v>
      </c>
      <c r="V41" s="61">
        <f>Main!BB28</f>
        <v>0</v>
      </c>
      <c r="W41" s="13">
        <f>Main!BC28</f>
        <v>0</v>
      </c>
      <c r="X41" s="28">
        <f>Main!BD28</f>
        <v>0</v>
      </c>
      <c r="Y41" s="28">
        <f>Main!BE28</f>
        <v>0</v>
      </c>
      <c r="Z41" s="107" t="str">
        <f>Main!BF28</f>
        <v/>
      </c>
      <c r="AA41"/>
    </row>
    <row r="42" spans="2:27" hidden="1" x14ac:dyDescent="0.25">
      <c r="B42"/>
      <c r="C42" s="24">
        <f t="shared" si="0"/>
        <v>22</v>
      </c>
      <c r="D42" s="51" t="str">
        <f>Main!D29</f>
        <v>CAD</v>
      </c>
      <c r="E42" s="83">
        <f>Main!E29</f>
        <v>0</v>
      </c>
      <c r="F42"/>
      <c r="G42" s="52">
        <f>Main!W29</f>
        <v>0</v>
      </c>
      <c r="H42" s="6">
        <f>Main!X29</f>
        <v>0</v>
      </c>
      <c r="I42" s="6">
        <f>Main!Y29</f>
        <v>0</v>
      </c>
      <c r="J42" s="53">
        <f>Main!AE29</f>
        <v>0</v>
      </c>
      <c r="K42"/>
      <c r="L42" s="52">
        <f>Main!AI29</f>
        <v>0</v>
      </c>
      <c r="M42" s="53">
        <f>Main!AJ29</f>
        <v>0</v>
      </c>
      <c r="N42"/>
      <c r="O42" s="54">
        <f>Main!AN29</f>
        <v>0</v>
      </c>
      <c r="P42" s="109">
        <f>Main!AO29</f>
        <v>0</v>
      </c>
      <c r="Q42"/>
      <c r="R42" s="27">
        <f>Main!AX29</f>
        <v>0</v>
      </c>
      <c r="S42" s="57">
        <f>Main!AY29</f>
        <v>0</v>
      </c>
      <c r="T42" s="57">
        <f>Main!AZ29</f>
        <v>0</v>
      </c>
      <c r="U42" s="61">
        <f>Main!BA29</f>
        <v>0</v>
      </c>
      <c r="V42" s="61">
        <f>Main!BB29</f>
        <v>0</v>
      </c>
      <c r="W42" s="13">
        <f>Main!BC29</f>
        <v>0</v>
      </c>
      <c r="X42" s="28">
        <f>Main!BD29</f>
        <v>0</v>
      </c>
      <c r="Y42" s="28">
        <f>Main!BE29</f>
        <v>0</v>
      </c>
      <c r="Z42" s="107" t="str">
        <f>Main!BF29</f>
        <v/>
      </c>
      <c r="AA42"/>
    </row>
    <row r="43" spans="2:27" hidden="1" x14ac:dyDescent="0.25">
      <c r="B43"/>
      <c r="C43" s="24">
        <f t="shared" si="0"/>
        <v>23</v>
      </c>
      <c r="D43" s="51" t="str">
        <f>Main!D30</f>
        <v>CAD</v>
      </c>
      <c r="E43" s="83">
        <f>Main!E30</f>
        <v>0</v>
      </c>
      <c r="F43"/>
      <c r="G43" s="52">
        <f>Main!W30</f>
        <v>0</v>
      </c>
      <c r="H43" s="6">
        <f>Main!X30</f>
        <v>0</v>
      </c>
      <c r="I43" s="6">
        <f>Main!Y30</f>
        <v>0</v>
      </c>
      <c r="J43" s="53">
        <f>Main!AE30</f>
        <v>0</v>
      </c>
      <c r="K43"/>
      <c r="L43" s="52">
        <f>Main!AI30</f>
        <v>0</v>
      </c>
      <c r="M43" s="53">
        <f>Main!AJ30</f>
        <v>0</v>
      </c>
      <c r="N43"/>
      <c r="O43" s="54">
        <f>Main!AN30</f>
        <v>0</v>
      </c>
      <c r="P43" s="109">
        <f>Main!AO30</f>
        <v>0</v>
      </c>
      <c r="Q43"/>
      <c r="R43" s="27">
        <f>Main!AX30</f>
        <v>0</v>
      </c>
      <c r="S43" s="57">
        <f>Main!AY30</f>
        <v>0</v>
      </c>
      <c r="T43" s="57">
        <f>Main!AZ30</f>
        <v>0</v>
      </c>
      <c r="U43" s="61">
        <f>Main!BA30</f>
        <v>0</v>
      </c>
      <c r="V43" s="61">
        <f>Main!BB30</f>
        <v>0</v>
      </c>
      <c r="W43" s="13">
        <f>Main!BC30</f>
        <v>0</v>
      </c>
      <c r="X43" s="28">
        <f>Main!BD30</f>
        <v>0</v>
      </c>
      <c r="Y43" s="28">
        <f>Main!BE30</f>
        <v>0</v>
      </c>
      <c r="Z43" s="107" t="str">
        <f>Main!BF30</f>
        <v/>
      </c>
      <c r="AA43"/>
    </row>
    <row r="44" spans="2:27" hidden="1" x14ac:dyDescent="0.25">
      <c r="B44"/>
      <c r="C44" s="24">
        <f t="shared" si="0"/>
        <v>24</v>
      </c>
      <c r="D44" s="51" t="str">
        <f>Main!D31</f>
        <v>CAD</v>
      </c>
      <c r="E44" s="83">
        <f>Main!E31</f>
        <v>0</v>
      </c>
      <c r="F44"/>
      <c r="G44" s="52">
        <f>Main!W31</f>
        <v>0</v>
      </c>
      <c r="H44" s="6">
        <f>Main!X31</f>
        <v>0</v>
      </c>
      <c r="I44" s="6">
        <f>Main!Y31</f>
        <v>0</v>
      </c>
      <c r="J44" s="53">
        <f>Main!AE31</f>
        <v>0</v>
      </c>
      <c r="K44"/>
      <c r="L44" s="52">
        <f>Main!AI31</f>
        <v>0</v>
      </c>
      <c r="M44" s="53">
        <f>Main!AJ31</f>
        <v>0</v>
      </c>
      <c r="N44"/>
      <c r="O44" s="54">
        <f>Main!AN31</f>
        <v>0</v>
      </c>
      <c r="P44" s="109">
        <f>Main!AO31</f>
        <v>0</v>
      </c>
      <c r="Q44"/>
      <c r="R44" s="27">
        <f>Main!AX31</f>
        <v>0</v>
      </c>
      <c r="S44" s="57">
        <f>Main!AY31</f>
        <v>0</v>
      </c>
      <c r="T44" s="57">
        <f>Main!AZ31</f>
        <v>0</v>
      </c>
      <c r="U44" s="61">
        <f>Main!BA31</f>
        <v>0</v>
      </c>
      <c r="V44" s="61">
        <f>Main!BB31</f>
        <v>0</v>
      </c>
      <c r="W44" s="13">
        <f>Main!BC31</f>
        <v>0</v>
      </c>
      <c r="X44" s="28">
        <f>Main!BD31</f>
        <v>0</v>
      </c>
      <c r="Y44" s="28">
        <f>Main!BE31</f>
        <v>0</v>
      </c>
      <c r="Z44" s="107" t="str">
        <f>Main!BF31</f>
        <v/>
      </c>
      <c r="AA44"/>
    </row>
    <row r="45" spans="2:27" hidden="1" x14ac:dyDescent="0.25">
      <c r="B45"/>
      <c r="C45" s="24">
        <f t="shared" si="0"/>
        <v>25</v>
      </c>
      <c r="D45" s="51" t="str">
        <f>Main!D32</f>
        <v>CAD</v>
      </c>
      <c r="E45" s="83">
        <f>Main!E32</f>
        <v>0</v>
      </c>
      <c r="F45"/>
      <c r="G45" s="52">
        <f>Main!W32</f>
        <v>0</v>
      </c>
      <c r="H45" s="6">
        <f>Main!X32</f>
        <v>0</v>
      </c>
      <c r="I45" s="6">
        <f>Main!Y32</f>
        <v>0</v>
      </c>
      <c r="J45" s="53">
        <f>Main!AE32</f>
        <v>0</v>
      </c>
      <c r="K45"/>
      <c r="L45" s="52">
        <f>Main!AI32</f>
        <v>0</v>
      </c>
      <c r="M45" s="53">
        <f>Main!AJ32</f>
        <v>0</v>
      </c>
      <c r="N45"/>
      <c r="O45" s="54">
        <f>Main!AN32</f>
        <v>0</v>
      </c>
      <c r="P45" s="109">
        <f>Main!AO32</f>
        <v>0</v>
      </c>
      <c r="Q45"/>
      <c r="R45" s="27">
        <f>Main!AX32</f>
        <v>0</v>
      </c>
      <c r="S45" s="57">
        <f>Main!AY32</f>
        <v>0</v>
      </c>
      <c r="T45" s="57">
        <f>Main!AZ32</f>
        <v>0</v>
      </c>
      <c r="U45" s="61">
        <f>Main!BA32</f>
        <v>0</v>
      </c>
      <c r="V45" s="61">
        <f>Main!BB32</f>
        <v>0</v>
      </c>
      <c r="W45" s="13">
        <f>Main!BC32</f>
        <v>0</v>
      </c>
      <c r="X45" s="28">
        <f>Main!BD32</f>
        <v>0</v>
      </c>
      <c r="Y45" s="28">
        <f>Main!BE32</f>
        <v>0</v>
      </c>
      <c r="Z45" s="107" t="str">
        <f>Main!BF32</f>
        <v/>
      </c>
      <c r="AA45"/>
    </row>
    <row r="46" spans="2:27" hidden="1" x14ac:dyDescent="0.25">
      <c r="B46"/>
      <c r="C46" s="24">
        <f t="shared" si="0"/>
        <v>26</v>
      </c>
      <c r="D46" s="51" t="str">
        <f>Main!D33</f>
        <v>CAD</v>
      </c>
      <c r="E46" s="83">
        <f>Main!E33</f>
        <v>0</v>
      </c>
      <c r="F46"/>
      <c r="G46" s="52">
        <f>Main!W33</f>
        <v>0</v>
      </c>
      <c r="H46" s="6">
        <f>Main!X33</f>
        <v>0</v>
      </c>
      <c r="I46" s="6">
        <f>Main!Y33</f>
        <v>0</v>
      </c>
      <c r="J46" s="53">
        <f>Main!AE33</f>
        <v>0</v>
      </c>
      <c r="K46"/>
      <c r="L46" s="52">
        <f>Main!AI33</f>
        <v>0</v>
      </c>
      <c r="M46" s="53">
        <f>Main!AJ33</f>
        <v>0</v>
      </c>
      <c r="N46"/>
      <c r="O46" s="54">
        <f>Main!AN33</f>
        <v>0</v>
      </c>
      <c r="P46" s="109">
        <f>Main!AO33</f>
        <v>0</v>
      </c>
      <c r="Q46"/>
      <c r="R46" s="27">
        <f>Main!AX33</f>
        <v>0</v>
      </c>
      <c r="S46" s="57">
        <f>Main!AY33</f>
        <v>0</v>
      </c>
      <c r="T46" s="57">
        <f>Main!AZ33</f>
        <v>0</v>
      </c>
      <c r="U46" s="61">
        <f>Main!BA33</f>
        <v>0</v>
      </c>
      <c r="V46" s="61">
        <f>Main!BB33</f>
        <v>0</v>
      </c>
      <c r="W46" s="13">
        <f>Main!BC33</f>
        <v>0</v>
      </c>
      <c r="X46" s="28">
        <f>Main!BD33</f>
        <v>0</v>
      </c>
      <c r="Y46" s="28">
        <f>Main!BE33</f>
        <v>0</v>
      </c>
      <c r="Z46" s="107" t="str">
        <f>Main!BF33</f>
        <v/>
      </c>
      <c r="AA46"/>
    </row>
    <row r="47" spans="2:27" hidden="1" x14ac:dyDescent="0.25">
      <c r="B47"/>
      <c r="C47" s="24">
        <f t="shared" si="0"/>
        <v>27</v>
      </c>
      <c r="D47" s="51" t="str">
        <f>Main!D34</f>
        <v>CAD</v>
      </c>
      <c r="E47" s="83">
        <f>Main!E34</f>
        <v>0</v>
      </c>
      <c r="F47"/>
      <c r="G47" s="52">
        <f>Main!W34</f>
        <v>0</v>
      </c>
      <c r="H47" s="6">
        <f>Main!X34</f>
        <v>0</v>
      </c>
      <c r="I47" s="6">
        <f>Main!Y34</f>
        <v>0</v>
      </c>
      <c r="J47" s="53">
        <f>Main!AE34</f>
        <v>0</v>
      </c>
      <c r="K47"/>
      <c r="L47" s="52">
        <f>Main!AI34</f>
        <v>0</v>
      </c>
      <c r="M47" s="53">
        <f>Main!AJ34</f>
        <v>0</v>
      </c>
      <c r="N47"/>
      <c r="O47" s="54">
        <f>Main!AN34</f>
        <v>0</v>
      </c>
      <c r="P47" s="109">
        <f>Main!AO34</f>
        <v>0</v>
      </c>
      <c r="Q47"/>
      <c r="R47" s="27">
        <f>Main!AX34</f>
        <v>0</v>
      </c>
      <c r="S47" s="57">
        <f>Main!AY34</f>
        <v>0</v>
      </c>
      <c r="T47" s="57">
        <f>Main!AZ34</f>
        <v>0</v>
      </c>
      <c r="U47" s="61">
        <f>Main!BA34</f>
        <v>0</v>
      </c>
      <c r="V47" s="61">
        <f>Main!BB34</f>
        <v>0</v>
      </c>
      <c r="W47" s="13">
        <f>Main!BC34</f>
        <v>0</v>
      </c>
      <c r="X47" s="28">
        <f>Main!BD34</f>
        <v>0</v>
      </c>
      <c r="Y47" s="28">
        <f>Main!BE34</f>
        <v>0</v>
      </c>
      <c r="Z47" s="107" t="str">
        <f>Main!BF34</f>
        <v/>
      </c>
      <c r="AA47"/>
    </row>
    <row r="48" spans="2:27" hidden="1" x14ac:dyDescent="0.25">
      <c r="B48"/>
      <c r="C48" s="24">
        <f t="shared" si="0"/>
        <v>28</v>
      </c>
      <c r="D48" s="51" t="str">
        <f>Main!D35</f>
        <v>CAD</v>
      </c>
      <c r="E48" s="83">
        <f>Main!E35</f>
        <v>0</v>
      </c>
      <c r="F48"/>
      <c r="G48" s="52">
        <f>Main!W35</f>
        <v>0</v>
      </c>
      <c r="H48" s="6">
        <f>Main!X35</f>
        <v>0</v>
      </c>
      <c r="I48" s="6">
        <f>Main!Y35</f>
        <v>0</v>
      </c>
      <c r="J48" s="53">
        <f>Main!AE35</f>
        <v>0</v>
      </c>
      <c r="K48"/>
      <c r="L48" s="52">
        <f>Main!AI35</f>
        <v>0</v>
      </c>
      <c r="M48" s="53">
        <f>Main!AJ35</f>
        <v>0</v>
      </c>
      <c r="N48"/>
      <c r="O48" s="54">
        <f>Main!AN35</f>
        <v>0</v>
      </c>
      <c r="P48" s="109">
        <f>Main!AO35</f>
        <v>0</v>
      </c>
      <c r="Q48"/>
      <c r="R48" s="27">
        <f>Main!AX35</f>
        <v>0</v>
      </c>
      <c r="S48" s="57">
        <f>Main!AY35</f>
        <v>0</v>
      </c>
      <c r="T48" s="57">
        <f>Main!AZ35</f>
        <v>0</v>
      </c>
      <c r="U48" s="61">
        <f>Main!BA35</f>
        <v>0</v>
      </c>
      <c r="V48" s="61">
        <f>Main!BB35</f>
        <v>0</v>
      </c>
      <c r="W48" s="13">
        <f>Main!BC35</f>
        <v>0</v>
      </c>
      <c r="X48" s="28">
        <f>Main!BD35</f>
        <v>0</v>
      </c>
      <c r="Y48" s="28">
        <f>Main!BE35</f>
        <v>0</v>
      </c>
      <c r="Z48" s="107" t="str">
        <f>Main!BF35</f>
        <v/>
      </c>
      <c r="AA48"/>
    </row>
    <row r="49" spans="2:27" hidden="1" x14ac:dyDescent="0.25">
      <c r="B49"/>
      <c r="C49" s="24">
        <f t="shared" si="0"/>
        <v>29</v>
      </c>
      <c r="D49" s="51" t="str">
        <f>Main!D36</f>
        <v>CAD</v>
      </c>
      <c r="E49" s="83">
        <f>Main!E36</f>
        <v>0</v>
      </c>
      <c r="F49"/>
      <c r="G49" s="52">
        <f>Main!W36</f>
        <v>0</v>
      </c>
      <c r="H49" s="6">
        <f>Main!X36</f>
        <v>0</v>
      </c>
      <c r="I49" s="6">
        <f>Main!Y36</f>
        <v>0</v>
      </c>
      <c r="J49" s="53">
        <f>Main!AE36</f>
        <v>0</v>
      </c>
      <c r="K49"/>
      <c r="L49" s="52">
        <f>Main!AI36</f>
        <v>0</v>
      </c>
      <c r="M49" s="53">
        <f>Main!AJ36</f>
        <v>0</v>
      </c>
      <c r="N49"/>
      <c r="O49" s="54">
        <f>Main!AN36</f>
        <v>0</v>
      </c>
      <c r="P49" s="109">
        <f>Main!AO36</f>
        <v>0</v>
      </c>
      <c r="Q49"/>
      <c r="R49" s="27">
        <f>Main!AX36</f>
        <v>0</v>
      </c>
      <c r="S49" s="57">
        <f>Main!AY36</f>
        <v>0</v>
      </c>
      <c r="T49" s="57">
        <f>Main!AZ36</f>
        <v>0</v>
      </c>
      <c r="U49" s="61">
        <f>Main!BA36</f>
        <v>0</v>
      </c>
      <c r="V49" s="61">
        <f>Main!BB36</f>
        <v>0</v>
      </c>
      <c r="W49" s="13">
        <f>Main!BC36</f>
        <v>0</v>
      </c>
      <c r="X49" s="28">
        <f>Main!BD36</f>
        <v>0</v>
      </c>
      <c r="Y49" s="28">
        <f>Main!BE36</f>
        <v>0</v>
      </c>
      <c r="Z49" s="107" t="str">
        <f>Main!BF36</f>
        <v/>
      </c>
      <c r="AA49"/>
    </row>
    <row r="50" spans="2:27" hidden="1" x14ac:dyDescent="0.25">
      <c r="B50"/>
      <c r="C50" s="24">
        <f t="shared" si="0"/>
        <v>30</v>
      </c>
      <c r="D50" s="51" t="str">
        <f>Main!D37</f>
        <v>CAD</v>
      </c>
      <c r="E50" s="83">
        <f>Main!E37</f>
        <v>0</v>
      </c>
      <c r="F50"/>
      <c r="G50" s="52">
        <f>Main!W37</f>
        <v>0</v>
      </c>
      <c r="H50" s="6">
        <f>Main!X37</f>
        <v>0</v>
      </c>
      <c r="I50" s="6">
        <f>Main!Y37</f>
        <v>0</v>
      </c>
      <c r="J50" s="53">
        <f>Main!AE37</f>
        <v>0</v>
      </c>
      <c r="K50"/>
      <c r="L50" s="52">
        <f>Main!AI37</f>
        <v>0</v>
      </c>
      <c r="M50" s="53">
        <f>Main!AJ37</f>
        <v>0</v>
      </c>
      <c r="N50"/>
      <c r="O50" s="54">
        <f>Main!AN37</f>
        <v>0</v>
      </c>
      <c r="P50" s="109">
        <f>Main!AO37</f>
        <v>0</v>
      </c>
      <c r="Q50"/>
      <c r="R50" s="27">
        <f>Main!AX37</f>
        <v>0</v>
      </c>
      <c r="S50" s="57">
        <f>Main!AY37</f>
        <v>0</v>
      </c>
      <c r="T50" s="57">
        <f>Main!AZ37</f>
        <v>0</v>
      </c>
      <c r="U50" s="61">
        <f>Main!BA37</f>
        <v>0</v>
      </c>
      <c r="V50" s="61">
        <f>Main!BB37</f>
        <v>0</v>
      </c>
      <c r="W50" s="13">
        <f>Main!BC37</f>
        <v>0</v>
      </c>
      <c r="X50" s="28">
        <f>Main!BD37</f>
        <v>0</v>
      </c>
      <c r="Y50" s="28">
        <f>Main!BE37</f>
        <v>0</v>
      </c>
      <c r="Z50" s="107" t="str">
        <f>Main!BF37</f>
        <v/>
      </c>
      <c r="AA50"/>
    </row>
    <row r="51" spans="2:27" hidden="1" x14ac:dyDescent="0.25">
      <c r="B51"/>
      <c r="C51" s="24">
        <f t="shared" si="0"/>
        <v>31</v>
      </c>
      <c r="D51" s="51" t="str">
        <f>Main!D38</f>
        <v>CAD</v>
      </c>
      <c r="E51" s="83">
        <f>Main!E38</f>
        <v>0</v>
      </c>
      <c r="F51"/>
      <c r="G51" s="52">
        <f>Main!W38</f>
        <v>0</v>
      </c>
      <c r="H51" s="6">
        <f>Main!X38</f>
        <v>0</v>
      </c>
      <c r="I51" s="6">
        <f>Main!Y38</f>
        <v>0</v>
      </c>
      <c r="J51" s="53">
        <f>Main!AE38</f>
        <v>0</v>
      </c>
      <c r="K51"/>
      <c r="L51" s="52">
        <f>Main!AI38</f>
        <v>0</v>
      </c>
      <c r="M51" s="53">
        <f>Main!AJ38</f>
        <v>0</v>
      </c>
      <c r="N51"/>
      <c r="O51" s="54">
        <f>Main!AN38</f>
        <v>0</v>
      </c>
      <c r="P51" s="109">
        <f>Main!AO38</f>
        <v>0</v>
      </c>
      <c r="Q51"/>
      <c r="R51" s="27">
        <f>Main!AX38</f>
        <v>0</v>
      </c>
      <c r="S51" s="57">
        <f>Main!AY38</f>
        <v>0</v>
      </c>
      <c r="T51" s="57">
        <f>Main!AZ38</f>
        <v>0</v>
      </c>
      <c r="U51" s="61">
        <f>Main!BA38</f>
        <v>0</v>
      </c>
      <c r="V51" s="61">
        <f>Main!BB38</f>
        <v>0</v>
      </c>
      <c r="W51" s="13">
        <f>Main!BC38</f>
        <v>0</v>
      </c>
      <c r="X51" s="28">
        <f>Main!BD38</f>
        <v>0</v>
      </c>
      <c r="Y51" s="28">
        <f>Main!BE38</f>
        <v>0</v>
      </c>
      <c r="Z51" s="107" t="str">
        <f>Main!BF38</f>
        <v/>
      </c>
      <c r="AA51"/>
    </row>
    <row r="52" spans="2:27" hidden="1" x14ac:dyDescent="0.25">
      <c r="B52"/>
      <c r="C52" s="24">
        <f t="shared" si="0"/>
        <v>32</v>
      </c>
      <c r="D52" s="51" t="str">
        <f>Main!D39</f>
        <v>CAD</v>
      </c>
      <c r="E52" s="83">
        <f>Main!E39</f>
        <v>0</v>
      </c>
      <c r="F52"/>
      <c r="G52" s="52">
        <f>Main!W39</f>
        <v>0</v>
      </c>
      <c r="H52" s="6">
        <f>Main!X39</f>
        <v>0</v>
      </c>
      <c r="I52" s="6">
        <f>Main!Y39</f>
        <v>0</v>
      </c>
      <c r="J52" s="53">
        <f>Main!AE39</f>
        <v>0</v>
      </c>
      <c r="K52"/>
      <c r="L52" s="52">
        <f>Main!AI39</f>
        <v>0</v>
      </c>
      <c r="M52" s="53">
        <f>Main!AJ39</f>
        <v>0</v>
      </c>
      <c r="N52"/>
      <c r="O52" s="54">
        <f>Main!AN39</f>
        <v>0</v>
      </c>
      <c r="P52" s="109">
        <f>Main!AO39</f>
        <v>0</v>
      </c>
      <c r="Q52"/>
      <c r="R52" s="27">
        <f>Main!AX39</f>
        <v>0</v>
      </c>
      <c r="S52" s="57">
        <f>Main!AY39</f>
        <v>0</v>
      </c>
      <c r="T52" s="57">
        <f>Main!AZ39</f>
        <v>0</v>
      </c>
      <c r="U52" s="61">
        <f>Main!BA39</f>
        <v>0</v>
      </c>
      <c r="V52" s="61">
        <f>Main!BB39</f>
        <v>0</v>
      </c>
      <c r="W52" s="13">
        <f>Main!BC39</f>
        <v>0</v>
      </c>
      <c r="X52" s="28">
        <f>Main!BD39</f>
        <v>0</v>
      </c>
      <c r="Y52" s="28">
        <f>Main!BE39</f>
        <v>0</v>
      </c>
      <c r="Z52" s="107" t="str">
        <f>Main!BF39</f>
        <v/>
      </c>
      <c r="AA52"/>
    </row>
    <row r="53" spans="2:27" hidden="1" x14ac:dyDescent="0.25">
      <c r="B53"/>
      <c r="C53" s="24">
        <f t="shared" si="0"/>
        <v>33</v>
      </c>
      <c r="D53" s="51" t="str">
        <f>Main!D40</f>
        <v>CAD</v>
      </c>
      <c r="E53" s="83">
        <f>Main!E40</f>
        <v>0</v>
      </c>
      <c r="F53"/>
      <c r="G53" s="52">
        <f>Main!W40</f>
        <v>0</v>
      </c>
      <c r="H53" s="6">
        <f>Main!X40</f>
        <v>0</v>
      </c>
      <c r="I53" s="6">
        <f>Main!Y40</f>
        <v>0</v>
      </c>
      <c r="J53" s="53">
        <f>Main!AE40</f>
        <v>0</v>
      </c>
      <c r="K53"/>
      <c r="L53" s="52">
        <f>Main!AI40</f>
        <v>0</v>
      </c>
      <c r="M53" s="53">
        <f>Main!AJ40</f>
        <v>0</v>
      </c>
      <c r="N53"/>
      <c r="O53" s="54">
        <f>Main!AN40</f>
        <v>0</v>
      </c>
      <c r="P53" s="109">
        <f>Main!AO40</f>
        <v>0</v>
      </c>
      <c r="Q53"/>
      <c r="R53" s="27">
        <f>Main!AX40</f>
        <v>0</v>
      </c>
      <c r="S53" s="57">
        <f>Main!AY40</f>
        <v>0</v>
      </c>
      <c r="T53" s="57">
        <f>Main!AZ40</f>
        <v>0</v>
      </c>
      <c r="U53" s="61">
        <f>Main!BA40</f>
        <v>0</v>
      </c>
      <c r="V53" s="61">
        <f>Main!BB40</f>
        <v>0</v>
      </c>
      <c r="W53" s="13">
        <f>Main!BC40</f>
        <v>0</v>
      </c>
      <c r="X53" s="28">
        <f>Main!BD40</f>
        <v>0</v>
      </c>
      <c r="Y53" s="28">
        <f>Main!BE40</f>
        <v>0</v>
      </c>
      <c r="Z53" s="107" t="str">
        <f>Main!BF40</f>
        <v/>
      </c>
      <c r="AA53"/>
    </row>
    <row r="54" spans="2:27" hidden="1" x14ac:dyDescent="0.25">
      <c r="B54"/>
      <c r="C54" s="24">
        <f t="shared" si="0"/>
        <v>34</v>
      </c>
      <c r="D54" s="51" t="str">
        <f>Main!D41</f>
        <v>CAD</v>
      </c>
      <c r="E54" s="83">
        <f>Main!E41</f>
        <v>0</v>
      </c>
      <c r="F54"/>
      <c r="G54" s="52">
        <f>Main!W41</f>
        <v>0</v>
      </c>
      <c r="H54" s="6">
        <f>Main!X41</f>
        <v>0</v>
      </c>
      <c r="I54" s="6">
        <f>Main!Y41</f>
        <v>0</v>
      </c>
      <c r="J54" s="53">
        <f>Main!AE41</f>
        <v>0</v>
      </c>
      <c r="K54"/>
      <c r="L54" s="52">
        <f>Main!AI41</f>
        <v>0</v>
      </c>
      <c r="M54" s="53">
        <f>Main!AJ41</f>
        <v>0</v>
      </c>
      <c r="N54"/>
      <c r="O54" s="54">
        <f>Main!AN41</f>
        <v>0</v>
      </c>
      <c r="P54" s="109">
        <f>Main!AO41</f>
        <v>0</v>
      </c>
      <c r="Q54"/>
      <c r="R54" s="27">
        <f>Main!AX41</f>
        <v>0</v>
      </c>
      <c r="S54" s="57">
        <f>Main!AY41</f>
        <v>0</v>
      </c>
      <c r="T54" s="57">
        <f>Main!AZ41</f>
        <v>0</v>
      </c>
      <c r="U54" s="61">
        <f>Main!BA41</f>
        <v>0</v>
      </c>
      <c r="V54" s="61">
        <f>Main!BB41</f>
        <v>0</v>
      </c>
      <c r="W54" s="13">
        <f>Main!BC41</f>
        <v>0</v>
      </c>
      <c r="X54" s="28">
        <f>Main!BD41</f>
        <v>0</v>
      </c>
      <c r="Y54" s="28">
        <f>Main!BE41</f>
        <v>0</v>
      </c>
      <c r="Z54" s="107" t="str">
        <f>Main!BF41</f>
        <v/>
      </c>
      <c r="AA54"/>
    </row>
    <row r="55" spans="2:27" hidden="1" x14ac:dyDescent="0.25">
      <c r="B55"/>
      <c r="C55" s="24">
        <f t="shared" si="0"/>
        <v>35</v>
      </c>
      <c r="D55" s="51" t="str">
        <f>Main!D42</f>
        <v>CAD</v>
      </c>
      <c r="E55" s="83">
        <f>Main!E42</f>
        <v>0</v>
      </c>
      <c r="F55"/>
      <c r="G55" s="52">
        <f>Main!W42</f>
        <v>0</v>
      </c>
      <c r="H55" s="6">
        <f>Main!X42</f>
        <v>0</v>
      </c>
      <c r="I55" s="6">
        <f>Main!Y42</f>
        <v>0</v>
      </c>
      <c r="J55" s="53">
        <f>Main!AE42</f>
        <v>0</v>
      </c>
      <c r="K55"/>
      <c r="L55" s="52">
        <f>Main!AI42</f>
        <v>0</v>
      </c>
      <c r="M55" s="53">
        <f>Main!AJ42</f>
        <v>0</v>
      </c>
      <c r="N55"/>
      <c r="O55" s="54">
        <f>Main!AN42</f>
        <v>0</v>
      </c>
      <c r="P55" s="109">
        <f>Main!AO42</f>
        <v>0</v>
      </c>
      <c r="Q55"/>
      <c r="R55" s="27">
        <f>Main!AX42</f>
        <v>0</v>
      </c>
      <c r="S55" s="57">
        <f>Main!AY42</f>
        <v>0</v>
      </c>
      <c r="T55" s="57">
        <f>Main!AZ42</f>
        <v>0</v>
      </c>
      <c r="U55" s="61">
        <f>Main!BA42</f>
        <v>0</v>
      </c>
      <c r="V55" s="61">
        <f>Main!BB42</f>
        <v>0</v>
      </c>
      <c r="W55" s="13">
        <f>Main!BC42</f>
        <v>0</v>
      </c>
      <c r="X55" s="28">
        <f>Main!BD42</f>
        <v>0</v>
      </c>
      <c r="Y55" s="28">
        <f>Main!BE42</f>
        <v>0</v>
      </c>
      <c r="Z55" s="107" t="str">
        <f>Main!BF42</f>
        <v/>
      </c>
      <c r="AA55"/>
    </row>
    <row r="56" spans="2:27" hidden="1" x14ac:dyDescent="0.25">
      <c r="B56"/>
      <c r="C56" s="24">
        <f t="shared" si="0"/>
        <v>36</v>
      </c>
      <c r="D56" s="51" t="str">
        <f>Main!D43</f>
        <v>CAD</v>
      </c>
      <c r="E56" s="83">
        <f>Main!E43</f>
        <v>0</v>
      </c>
      <c r="F56"/>
      <c r="G56" s="52">
        <f>Main!W43</f>
        <v>0</v>
      </c>
      <c r="H56" s="6">
        <f>Main!X43</f>
        <v>0</v>
      </c>
      <c r="I56" s="6">
        <f>Main!Y43</f>
        <v>0</v>
      </c>
      <c r="J56" s="53">
        <f>Main!AE43</f>
        <v>0</v>
      </c>
      <c r="K56"/>
      <c r="L56" s="52">
        <f>Main!AI43</f>
        <v>0</v>
      </c>
      <c r="M56" s="53">
        <f>Main!AJ43</f>
        <v>0</v>
      </c>
      <c r="N56"/>
      <c r="O56" s="54">
        <f>Main!AN43</f>
        <v>0</v>
      </c>
      <c r="P56" s="109">
        <f>Main!AO43</f>
        <v>0</v>
      </c>
      <c r="Q56"/>
      <c r="R56" s="27">
        <f>Main!AX43</f>
        <v>0</v>
      </c>
      <c r="S56" s="57">
        <f>Main!AY43</f>
        <v>0</v>
      </c>
      <c r="T56" s="57">
        <f>Main!AZ43</f>
        <v>0</v>
      </c>
      <c r="U56" s="61">
        <f>Main!BA43</f>
        <v>0</v>
      </c>
      <c r="V56" s="61">
        <f>Main!BB43</f>
        <v>0</v>
      </c>
      <c r="W56" s="13">
        <f>Main!BC43</f>
        <v>0</v>
      </c>
      <c r="X56" s="28">
        <f>Main!BD43</f>
        <v>0</v>
      </c>
      <c r="Y56" s="28">
        <f>Main!BE43</f>
        <v>0</v>
      </c>
      <c r="Z56" s="107" t="str">
        <f>Main!BF43</f>
        <v/>
      </c>
      <c r="AA56"/>
    </row>
    <row r="57" spans="2:27" hidden="1" x14ac:dyDescent="0.25">
      <c r="B57"/>
      <c r="C57" s="24">
        <f t="shared" si="0"/>
        <v>37</v>
      </c>
      <c r="D57" s="51" t="str">
        <f>Main!D44</f>
        <v>CAD</v>
      </c>
      <c r="E57" s="83">
        <f>Main!E44</f>
        <v>0</v>
      </c>
      <c r="F57"/>
      <c r="G57" s="52">
        <f>Main!W44</f>
        <v>0</v>
      </c>
      <c r="H57" s="6">
        <f>Main!X44</f>
        <v>0</v>
      </c>
      <c r="I57" s="6">
        <f>Main!Y44</f>
        <v>0</v>
      </c>
      <c r="J57" s="53">
        <f>Main!AE44</f>
        <v>0</v>
      </c>
      <c r="K57"/>
      <c r="L57" s="52">
        <f>Main!AI44</f>
        <v>0</v>
      </c>
      <c r="M57" s="53">
        <f>Main!AJ44</f>
        <v>0</v>
      </c>
      <c r="N57"/>
      <c r="O57" s="54">
        <f>Main!AN44</f>
        <v>0</v>
      </c>
      <c r="P57" s="109">
        <f>Main!AO44</f>
        <v>0</v>
      </c>
      <c r="Q57"/>
      <c r="R57" s="27">
        <f>Main!AX44</f>
        <v>0</v>
      </c>
      <c r="S57" s="57">
        <f>Main!AY44</f>
        <v>0</v>
      </c>
      <c r="T57" s="57">
        <f>Main!AZ44</f>
        <v>0</v>
      </c>
      <c r="U57" s="61">
        <f>Main!BA44</f>
        <v>0</v>
      </c>
      <c r="V57" s="61">
        <f>Main!BB44</f>
        <v>0</v>
      </c>
      <c r="W57" s="13">
        <f>Main!BC44</f>
        <v>0</v>
      </c>
      <c r="X57" s="28">
        <f>Main!BD44</f>
        <v>0</v>
      </c>
      <c r="Y57" s="28">
        <f>Main!BE44</f>
        <v>0</v>
      </c>
      <c r="Z57" s="107" t="str">
        <f>Main!BF44</f>
        <v/>
      </c>
      <c r="AA57"/>
    </row>
    <row r="58" spans="2:27" hidden="1" x14ac:dyDescent="0.25">
      <c r="B58"/>
      <c r="C58" s="24">
        <f t="shared" si="0"/>
        <v>38</v>
      </c>
      <c r="D58" s="51" t="str">
        <f>Main!D45</f>
        <v>CAD</v>
      </c>
      <c r="E58" s="83">
        <f>Main!E45</f>
        <v>0</v>
      </c>
      <c r="F58"/>
      <c r="G58" s="52">
        <f>Main!W45</f>
        <v>0</v>
      </c>
      <c r="H58" s="6">
        <f>Main!X45</f>
        <v>0</v>
      </c>
      <c r="I58" s="6">
        <f>Main!Y45</f>
        <v>0</v>
      </c>
      <c r="J58" s="53">
        <f>Main!AE45</f>
        <v>0</v>
      </c>
      <c r="K58"/>
      <c r="L58" s="52">
        <f>Main!AI45</f>
        <v>0</v>
      </c>
      <c r="M58" s="53">
        <f>Main!AJ45</f>
        <v>0</v>
      </c>
      <c r="N58"/>
      <c r="O58" s="54">
        <f>Main!AN45</f>
        <v>0</v>
      </c>
      <c r="P58" s="109">
        <f>Main!AO45</f>
        <v>0</v>
      </c>
      <c r="Q58"/>
      <c r="R58" s="27">
        <f>Main!AX45</f>
        <v>0</v>
      </c>
      <c r="S58" s="57">
        <f>Main!AY45</f>
        <v>0</v>
      </c>
      <c r="T58" s="57">
        <f>Main!AZ45</f>
        <v>0</v>
      </c>
      <c r="U58" s="61">
        <f>Main!BA45</f>
        <v>0</v>
      </c>
      <c r="V58" s="61">
        <f>Main!BB45</f>
        <v>0</v>
      </c>
      <c r="W58" s="13">
        <f>Main!BC45</f>
        <v>0</v>
      </c>
      <c r="X58" s="28">
        <f>Main!BD45</f>
        <v>0</v>
      </c>
      <c r="Y58" s="28">
        <f>Main!BE45</f>
        <v>0</v>
      </c>
      <c r="Z58" s="107" t="str">
        <f>Main!BF45</f>
        <v/>
      </c>
      <c r="AA58"/>
    </row>
    <row r="59" spans="2:27" hidden="1" x14ac:dyDescent="0.25">
      <c r="B59"/>
      <c r="C59" s="24">
        <f t="shared" si="0"/>
        <v>39</v>
      </c>
      <c r="D59" s="51" t="str">
        <f>Main!D46</f>
        <v>CAD</v>
      </c>
      <c r="E59" s="83">
        <f>Main!E46</f>
        <v>0</v>
      </c>
      <c r="F59"/>
      <c r="G59" s="52">
        <f>Main!W46</f>
        <v>0</v>
      </c>
      <c r="H59" s="6">
        <f>Main!X46</f>
        <v>0</v>
      </c>
      <c r="I59" s="6">
        <f>Main!Y46</f>
        <v>0</v>
      </c>
      <c r="J59" s="53">
        <f>Main!AE46</f>
        <v>0</v>
      </c>
      <c r="K59"/>
      <c r="L59" s="52">
        <f>Main!AI46</f>
        <v>0</v>
      </c>
      <c r="M59" s="53">
        <f>Main!AJ46</f>
        <v>0</v>
      </c>
      <c r="N59"/>
      <c r="O59" s="54">
        <f>Main!AN46</f>
        <v>0</v>
      </c>
      <c r="P59" s="109">
        <f>Main!AO46</f>
        <v>0</v>
      </c>
      <c r="Q59"/>
      <c r="R59" s="27">
        <f>Main!AX46</f>
        <v>0</v>
      </c>
      <c r="S59" s="57">
        <f>Main!AY46</f>
        <v>0</v>
      </c>
      <c r="T59" s="57">
        <f>Main!AZ46</f>
        <v>0</v>
      </c>
      <c r="U59" s="61">
        <f>Main!BA46</f>
        <v>0</v>
      </c>
      <c r="V59" s="61">
        <f>Main!BB46</f>
        <v>0</v>
      </c>
      <c r="W59" s="13">
        <f>Main!BC46</f>
        <v>0</v>
      </c>
      <c r="X59" s="28">
        <f>Main!BD46</f>
        <v>0</v>
      </c>
      <c r="Y59" s="28">
        <f>Main!BE46</f>
        <v>0</v>
      </c>
      <c r="Z59" s="107" t="str">
        <f>Main!BF46</f>
        <v/>
      </c>
      <c r="AA59"/>
    </row>
    <row r="60" spans="2:27" hidden="1" x14ac:dyDescent="0.25">
      <c r="B60"/>
      <c r="C60" s="24">
        <f t="shared" si="0"/>
        <v>40</v>
      </c>
      <c r="D60" s="51" t="str">
        <f>Main!D47</f>
        <v>CAD</v>
      </c>
      <c r="E60" s="83">
        <f>Main!E47</f>
        <v>0</v>
      </c>
      <c r="F60"/>
      <c r="G60" s="52">
        <f>Main!W47</f>
        <v>0</v>
      </c>
      <c r="H60" s="6">
        <f>Main!X47</f>
        <v>0</v>
      </c>
      <c r="I60" s="6">
        <f>Main!Y47</f>
        <v>0</v>
      </c>
      <c r="J60" s="53">
        <f>Main!AE47</f>
        <v>0</v>
      </c>
      <c r="K60"/>
      <c r="L60" s="52">
        <f>Main!AI47</f>
        <v>0</v>
      </c>
      <c r="M60" s="53">
        <f>Main!AJ47</f>
        <v>0</v>
      </c>
      <c r="N60"/>
      <c r="O60" s="54">
        <f>Main!AN47</f>
        <v>0</v>
      </c>
      <c r="P60" s="109">
        <f>Main!AO47</f>
        <v>0</v>
      </c>
      <c r="Q60"/>
      <c r="R60" s="27">
        <f>Main!AX47</f>
        <v>0</v>
      </c>
      <c r="S60" s="57">
        <f>Main!AY47</f>
        <v>0</v>
      </c>
      <c r="T60" s="57">
        <f>Main!AZ47</f>
        <v>0</v>
      </c>
      <c r="U60" s="61">
        <f>Main!BA47</f>
        <v>0</v>
      </c>
      <c r="V60" s="61">
        <f>Main!BB47</f>
        <v>0</v>
      </c>
      <c r="W60" s="13">
        <f>Main!BC47</f>
        <v>0</v>
      </c>
      <c r="X60" s="28">
        <f>Main!BD47</f>
        <v>0</v>
      </c>
      <c r="Y60" s="28">
        <f>Main!BE47</f>
        <v>0</v>
      </c>
      <c r="Z60" s="107" t="str">
        <f>Main!BF47</f>
        <v/>
      </c>
      <c r="AA60"/>
    </row>
    <row r="61" spans="2:27" hidden="1" x14ac:dyDescent="0.25">
      <c r="B61"/>
      <c r="C61" s="24">
        <f t="shared" si="0"/>
        <v>41</v>
      </c>
      <c r="D61" s="51" t="str">
        <f>Main!D48</f>
        <v>CAD</v>
      </c>
      <c r="E61" s="83">
        <f>Main!E48</f>
        <v>0</v>
      </c>
      <c r="F61"/>
      <c r="G61" s="52">
        <f>Main!W48</f>
        <v>0</v>
      </c>
      <c r="H61" s="6">
        <f>Main!X48</f>
        <v>0</v>
      </c>
      <c r="I61" s="6">
        <f>Main!Y48</f>
        <v>0</v>
      </c>
      <c r="J61" s="53">
        <f>Main!AE48</f>
        <v>0</v>
      </c>
      <c r="K61"/>
      <c r="L61" s="52">
        <f>Main!AI48</f>
        <v>0</v>
      </c>
      <c r="M61" s="53">
        <f>Main!AJ48</f>
        <v>0</v>
      </c>
      <c r="N61"/>
      <c r="O61" s="54">
        <f>Main!AN48</f>
        <v>0</v>
      </c>
      <c r="P61" s="109">
        <f>Main!AO48</f>
        <v>0</v>
      </c>
      <c r="Q61"/>
      <c r="R61" s="27">
        <f>Main!AX48</f>
        <v>0</v>
      </c>
      <c r="S61" s="57">
        <f>Main!AY48</f>
        <v>0</v>
      </c>
      <c r="T61" s="57">
        <f>Main!AZ48</f>
        <v>0</v>
      </c>
      <c r="U61" s="61">
        <f>Main!BA48</f>
        <v>0</v>
      </c>
      <c r="V61" s="61">
        <f>Main!BB48</f>
        <v>0</v>
      </c>
      <c r="W61" s="13">
        <f>Main!BC48</f>
        <v>0</v>
      </c>
      <c r="X61" s="28">
        <f>Main!BD48</f>
        <v>0</v>
      </c>
      <c r="Y61" s="28">
        <f>Main!BE48</f>
        <v>0</v>
      </c>
      <c r="Z61" s="107" t="str">
        <f>Main!BF48</f>
        <v/>
      </c>
      <c r="AA61"/>
    </row>
    <row r="62" spans="2:27" hidden="1" x14ac:dyDescent="0.25">
      <c r="B62"/>
      <c r="C62" s="24">
        <f t="shared" si="0"/>
        <v>42</v>
      </c>
      <c r="D62" s="51" t="str">
        <f>Main!D49</f>
        <v>CAD</v>
      </c>
      <c r="E62" s="83">
        <f>Main!E49</f>
        <v>0</v>
      </c>
      <c r="F62"/>
      <c r="G62" s="52">
        <f>Main!W49</f>
        <v>0</v>
      </c>
      <c r="H62" s="6">
        <f>Main!X49</f>
        <v>0</v>
      </c>
      <c r="I62" s="6">
        <f>Main!Y49</f>
        <v>0</v>
      </c>
      <c r="J62" s="53">
        <f>Main!AE49</f>
        <v>0</v>
      </c>
      <c r="K62"/>
      <c r="L62" s="52">
        <f>Main!AI49</f>
        <v>0</v>
      </c>
      <c r="M62" s="53">
        <f>Main!AJ49</f>
        <v>0</v>
      </c>
      <c r="N62"/>
      <c r="O62" s="54">
        <f>Main!AN49</f>
        <v>0</v>
      </c>
      <c r="P62" s="109">
        <f>Main!AO49</f>
        <v>0</v>
      </c>
      <c r="Q62"/>
      <c r="R62" s="27">
        <f>Main!AX49</f>
        <v>0</v>
      </c>
      <c r="S62" s="57">
        <f>Main!AY49</f>
        <v>0</v>
      </c>
      <c r="T62" s="57">
        <f>Main!AZ49</f>
        <v>0</v>
      </c>
      <c r="U62" s="61">
        <f>Main!BA49</f>
        <v>0</v>
      </c>
      <c r="V62" s="61">
        <f>Main!BB49</f>
        <v>0</v>
      </c>
      <c r="W62" s="13">
        <f>Main!BC49</f>
        <v>0</v>
      </c>
      <c r="X62" s="28">
        <f>Main!BD49</f>
        <v>0</v>
      </c>
      <c r="Y62" s="28">
        <f>Main!BE49</f>
        <v>0</v>
      </c>
      <c r="Z62" s="107" t="str">
        <f>Main!BF49</f>
        <v/>
      </c>
      <c r="AA62"/>
    </row>
    <row r="63" spans="2:27" hidden="1" x14ac:dyDescent="0.25">
      <c r="B63"/>
      <c r="C63" s="24">
        <f t="shared" si="0"/>
        <v>43</v>
      </c>
      <c r="D63" s="51" t="str">
        <f>Main!D50</f>
        <v>CAD</v>
      </c>
      <c r="E63" s="83">
        <f>Main!E50</f>
        <v>0</v>
      </c>
      <c r="F63"/>
      <c r="G63" s="52">
        <f>Main!W50</f>
        <v>0</v>
      </c>
      <c r="H63" s="6">
        <f>Main!X50</f>
        <v>0</v>
      </c>
      <c r="I63" s="6">
        <f>Main!Y50</f>
        <v>0</v>
      </c>
      <c r="J63" s="53">
        <f>Main!AE50</f>
        <v>0</v>
      </c>
      <c r="K63"/>
      <c r="L63" s="52">
        <f>Main!AI50</f>
        <v>0</v>
      </c>
      <c r="M63" s="53">
        <f>Main!AJ50</f>
        <v>0</v>
      </c>
      <c r="N63"/>
      <c r="O63" s="54">
        <f>Main!AN50</f>
        <v>0</v>
      </c>
      <c r="P63" s="109">
        <f>Main!AO50</f>
        <v>0</v>
      </c>
      <c r="Q63"/>
      <c r="R63" s="27">
        <f>Main!AX50</f>
        <v>0</v>
      </c>
      <c r="S63" s="57">
        <f>Main!AY50</f>
        <v>0</v>
      </c>
      <c r="T63" s="57">
        <f>Main!AZ50</f>
        <v>0</v>
      </c>
      <c r="U63" s="61">
        <f>Main!BA50</f>
        <v>0</v>
      </c>
      <c r="V63" s="61">
        <f>Main!BB50</f>
        <v>0</v>
      </c>
      <c r="W63" s="13">
        <f>Main!BC50</f>
        <v>0</v>
      </c>
      <c r="X63" s="28">
        <f>Main!BD50</f>
        <v>0</v>
      </c>
      <c r="Y63" s="28">
        <f>Main!BE50</f>
        <v>0</v>
      </c>
      <c r="Z63" s="107" t="str">
        <f>Main!BF50</f>
        <v/>
      </c>
      <c r="AA63"/>
    </row>
    <row r="64" spans="2:27" hidden="1" x14ac:dyDescent="0.25">
      <c r="B64"/>
      <c r="C64" s="24">
        <f t="shared" si="0"/>
        <v>44</v>
      </c>
      <c r="D64" s="51" t="str">
        <f>Main!D51</f>
        <v>CAD</v>
      </c>
      <c r="E64" s="83">
        <f>Main!E51</f>
        <v>0</v>
      </c>
      <c r="F64"/>
      <c r="G64" s="52">
        <f>Main!W51</f>
        <v>0</v>
      </c>
      <c r="H64" s="6">
        <f>Main!X51</f>
        <v>0</v>
      </c>
      <c r="I64" s="6">
        <f>Main!Y51</f>
        <v>0</v>
      </c>
      <c r="J64" s="53">
        <f>Main!AE51</f>
        <v>0</v>
      </c>
      <c r="K64"/>
      <c r="L64" s="52">
        <f>Main!AI51</f>
        <v>0</v>
      </c>
      <c r="M64" s="53">
        <f>Main!AJ51</f>
        <v>0</v>
      </c>
      <c r="N64"/>
      <c r="O64" s="54">
        <f>Main!AN51</f>
        <v>0</v>
      </c>
      <c r="P64" s="109">
        <f>Main!AO51</f>
        <v>0</v>
      </c>
      <c r="Q64"/>
      <c r="R64" s="27">
        <f>Main!AX51</f>
        <v>0</v>
      </c>
      <c r="S64" s="57">
        <f>Main!AY51</f>
        <v>0</v>
      </c>
      <c r="T64" s="57">
        <f>Main!AZ51</f>
        <v>0</v>
      </c>
      <c r="U64" s="61">
        <f>Main!BA51</f>
        <v>0</v>
      </c>
      <c r="V64" s="61">
        <f>Main!BB51</f>
        <v>0</v>
      </c>
      <c r="W64" s="13">
        <f>Main!BC51</f>
        <v>0</v>
      </c>
      <c r="X64" s="28">
        <f>Main!BD51</f>
        <v>0</v>
      </c>
      <c r="Y64" s="28">
        <f>Main!BE51</f>
        <v>0</v>
      </c>
      <c r="Z64" s="107" t="str">
        <f>Main!BF51</f>
        <v/>
      </c>
      <c r="AA64"/>
    </row>
    <row r="65" spans="2:27" hidden="1" x14ac:dyDescent="0.25">
      <c r="B65"/>
      <c r="C65" s="24">
        <f t="shared" si="0"/>
        <v>45</v>
      </c>
      <c r="D65" s="51" t="str">
        <f>Main!D52</f>
        <v>CAD</v>
      </c>
      <c r="E65" s="83">
        <f>Main!E52</f>
        <v>0</v>
      </c>
      <c r="F65"/>
      <c r="G65" s="52">
        <f>Main!W52</f>
        <v>0</v>
      </c>
      <c r="H65" s="6">
        <f>Main!X52</f>
        <v>0</v>
      </c>
      <c r="I65" s="6">
        <f>Main!Y52</f>
        <v>0</v>
      </c>
      <c r="J65" s="53">
        <f>Main!AE52</f>
        <v>0</v>
      </c>
      <c r="K65"/>
      <c r="L65" s="52">
        <f>Main!AI52</f>
        <v>0</v>
      </c>
      <c r="M65" s="53">
        <f>Main!AJ52</f>
        <v>0</v>
      </c>
      <c r="N65"/>
      <c r="O65" s="54">
        <f>Main!AN52</f>
        <v>0</v>
      </c>
      <c r="P65" s="109">
        <f>Main!AO52</f>
        <v>0</v>
      </c>
      <c r="Q65"/>
      <c r="R65" s="27">
        <f>Main!AX52</f>
        <v>0</v>
      </c>
      <c r="S65" s="57">
        <f>Main!AY52</f>
        <v>0</v>
      </c>
      <c r="T65" s="57">
        <f>Main!AZ52</f>
        <v>0</v>
      </c>
      <c r="U65" s="61">
        <f>Main!BA52</f>
        <v>0</v>
      </c>
      <c r="V65" s="61">
        <f>Main!BB52</f>
        <v>0</v>
      </c>
      <c r="W65" s="13">
        <f>Main!BC52</f>
        <v>0</v>
      </c>
      <c r="X65" s="28">
        <f>Main!BD52</f>
        <v>0</v>
      </c>
      <c r="Y65" s="28">
        <f>Main!BE52</f>
        <v>0</v>
      </c>
      <c r="Z65" s="107" t="str">
        <f>Main!BF52</f>
        <v/>
      </c>
      <c r="AA65"/>
    </row>
    <row r="66" spans="2:27" hidden="1" x14ac:dyDescent="0.25">
      <c r="B66"/>
      <c r="C66" s="24">
        <f t="shared" si="0"/>
        <v>46</v>
      </c>
      <c r="D66" s="51" t="str">
        <f>Main!D53</f>
        <v>CAD</v>
      </c>
      <c r="E66" s="83">
        <f>Main!E53</f>
        <v>0</v>
      </c>
      <c r="F66"/>
      <c r="G66" s="52">
        <f>Main!W53</f>
        <v>0</v>
      </c>
      <c r="H66" s="6">
        <f>Main!X53</f>
        <v>0</v>
      </c>
      <c r="I66" s="6">
        <f>Main!Y53</f>
        <v>0</v>
      </c>
      <c r="J66" s="53">
        <f>Main!AE53</f>
        <v>0</v>
      </c>
      <c r="K66"/>
      <c r="L66" s="52">
        <f>Main!AI53</f>
        <v>0</v>
      </c>
      <c r="M66" s="53">
        <f>Main!AJ53</f>
        <v>0</v>
      </c>
      <c r="N66"/>
      <c r="O66" s="54">
        <f>Main!AN53</f>
        <v>0</v>
      </c>
      <c r="P66" s="109">
        <f>Main!AO53</f>
        <v>0</v>
      </c>
      <c r="Q66"/>
      <c r="R66" s="27">
        <f>Main!AX53</f>
        <v>0</v>
      </c>
      <c r="S66" s="57">
        <f>Main!AY53</f>
        <v>0</v>
      </c>
      <c r="T66" s="57">
        <f>Main!AZ53</f>
        <v>0</v>
      </c>
      <c r="U66" s="61">
        <f>Main!BA53</f>
        <v>0</v>
      </c>
      <c r="V66" s="61">
        <f>Main!BB53</f>
        <v>0</v>
      </c>
      <c r="W66" s="13">
        <f>Main!BC53</f>
        <v>0</v>
      </c>
      <c r="X66" s="28">
        <f>Main!BD53</f>
        <v>0</v>
      </c>
      <c r="Y66" s="28">
        <f>Main!BE53</f>
        <v>0</v>
      </c>
      <c r="Z66" s="107" t="str">
        <f>Main!BF53</f>
        <v/>
      </c>
      <c r="AA66"/>
    </row>
    <row r="67" spans="2:27" hidden="1" x14ac:dyDescent="0.25">
      <c r="B67"/>
      <c r="C67" s="24">
        <f t="shared" si="0"/>
        <v>47</v>
      </c>
      <c r="D67" s="51" t="str">
        <f>Main!D54</f>
        <v>CAD</v>
      </c>
      <c r="E67" s="83">
        <f>Main!E54</f>
        <v>0</v>
      </c>
      <c r="F67"/>
      <c r="G67" s="52">
        <f>Main!W54</f>
        <v>0</v>
      </c>
      <c r="H67" s="6">
        <f>Main!X54</f>
        <v>0</v>
      </c>
      <c r="I67" s="6">
        <f>Main!Y54</f>
        <v>0</v>
      </c>
      <c r="J67" s="53">
        <f>Main!AE54</f>
        <v>0</v>
      </c>
      <c r="K67"/>
      <c r="L67" s="52">
        <f>Main!AI54</f>
        <v>0</v>
      </c>
      <c r="M67" s="53">
        <f>Main!AJ54</f>
        <v>0</v>
      </c>
      <c r="N67"/>
      <c r="O67" s="54">
        <f>Main!AN54</f>
        <v>0</v>
      </c>
      <c r="P67" s="109">
        <f>Main!AO54</f>
        <v>0</v>
      </c>
      <c r="Q67"/>
      <c r="R67" s="27">
        <f>Main!AX54</f>
        <v>0</v>
      </c>
      <c r="S67" s="57">
        <f>Main!AY54</f>
        <v>0</v>
      </c>
      <c r="T67" s="57">
        <f>Main!AZ54</f>
        <v>0</v>
      </c>
      <c r="U67" s="61">
        <f>Main!BA54</f>
        <v>0</v>
      </c>
      <c r="V67" s="61">
        <f>Main!BB54</f>
        <v>0</v>
      </c>
      <c r="W67" s="13">
        <f>Main!BC54</f>
        <v>0</v>
      </c>
      <c r="X67" s="28">
        <f>Main!BD54</f>
        <v>0</v>
      </c>
      <c r="Y67" s="28">
        <f>Main!BE54</f>
        <v>0</v>
      </c>
      <c r="Z67" s="107" t="str">
        <f>Main!BF54</f>
        <v/>
      </c>
      <c r="AA67"/>
    </row>
    <row r="68" spans="2:27" hidden="1" x14ac:dyDescent="0.25">
      <c r="B68"/>
      <c r="C68" s="24">
        <f t="shared" si="0"/>
        <v>48</v>
      </c>
      <c r="D68" s="51" t="str">
        <f>Main!D55</f>
        <v>CAD</v>
      </c>
      <c r="E68" s="83">
        <f>Main!E55</f>
        <v>0</v>
      </c>
      <c r="F68"/>
      <c r="G68" s="52">
        <f>Main!W55</f>
        <v>0</v>
      </c>
      <c r="H68" s="6">
        <f>Main!X55</f>
        <v>0</v>
      </c>
      <c r="I68" s="6">
        <f>Main!Y55</f>
        <v>0</v>
      </c>
      <c r="J68" s="53">
        <f>Main!AE55</f>
        <v>0</v>
      </c>
      <c r="K68"/>
      <c r="L68" s="52">
        <f>Main!AI55</f>
        <v>0</v>
      </c>
      <c r="M68" s="53">
        <f>Main!AJ55</f>
        <v>0</v>
      </c>
      <c r="N68"/>
      <c r="O68" s="54">
        <f>Main!AN55</f>
        <v>0</v>
      </c>
      <c r="P68" s="109">
        <f>Main!AO55</f>
        <v>0</v>
      </c>
      <c r="Q68"/>
      <c r="R68" s="27">
        <f>Main!AX55</f>
        <v>0</v>
      </c>
      <c r="S68" s="57">
        <f>Main!AY55</f>
        <v>0</v>
      </c>
      <c r="T68" s="57">
        <f>Main!AZ55</f>
        <v>0</v>
      </c>
      <c r="U68" s="61">
        <f>Main!BA55</f>
        <v>0</v>
      </c>
      <c r="V68" s="61">
        <f>Main!BB55</f>
        <v>0</v>
      </c>
      <c r="W68" s="13">
        <f>Main!BC55</f>
        <v>0</v>
      </c>
      <c r="X68" s="28">
        <f>Main!BD55</f>
        <v>0</v>
      </c>
      <c r="Y68" s="28">
        <f>Main!BE55</f>
        <v>0</v>
      </c>
      <c r="Z68" s="107" t="str">
        <f>Main!BF55</f>
        <v/>
      </c>
      <c r="AA68"/>
    </row>
    <row r="69" spans="2:27" hidden="1" x14ac:dyDescent="0.25">
      <c r="B69"/>
      <c r="C69" s="24">
        <f t="shared" si="0"/>
        <v>49</v>
      </c>
      <c r="D69" s="51" t="str">
        <f>Main!D56</f>
        <v>CAD</v>
      </c>
      <c r="E69" s="83">
        <f>Main!E56</f>
        <v>0</v>
      </c>
      <c r="F69"/>
      <c r="G69" s="52">
        <f>Main!W56</f>
        <v>0</v>
      </c>
      <c r="H69" s="6">
        <f>Main!X56</f>
        <v>0</v>
      </c>
      <c r="I69" s="6">
        <f>Main!Y56</f>
        <v>0</v>
      </c>
      <c r="J69" s="53">
        <f>Main!AE56</f>
        <v>0</v>
      </c>
      <c r="K69"/>
      <c r="L69" s="52">
        <f>Main!AI56</f>
        <v>0</v>
      </c>
      <c r="M69" s="53">
        <f>Main!AJ56</f>
        <v>0</v>
      </c>
      <c r="N69"/>
      <c r="O69" s="54">
        <f>Main!AN56</f>
        <v>0</v>
      </c>
      <c r="P69" s="109">
        <f>Main!AO56</f>
        <v>0</v>
      </c>
      <c r="Q69"/>
      <c r="R69" s="27">
        <f>Main!AX56</f>
        <v>0</v>
      </c>
      <c r="S69" s="57">
        <f>Main!AY56</f>
        <v>0</v>
      </c>
      <c r="T69" s="57">
        <f>Main!AZ56</f>
        <v>0</v>
      </c>
      <c r="U69" s="61">
        <f>Main!BA56</f>
        <v>0</v>
      </c>
      <c r="V69" s="61">
        <f>Main!BB56</f>
        <v>0</v>
      </c>
      <c r="W69" s="13">
        <f>Main!BC56</f>
        <v>0</v>
      </c>
      <c r="X69" s="28">
        <f>Main!BD56</f>
        <v>0</v>
      </c>
      <c r="Y69" s="28">
        <f>Main!BE56</f>
        <v>0</v>
      </c>
      <c r="Z69" s="107" t="str">
        <f>Main!BF56</f>
        <v/>
      </c>
      <c r="AA69"/>
    </row>
    <row r="70" spans="2:27" hidden="1" x14ac:dyDescent="0.25">
      <c r="B70"/>
      <c r="C70" s="24">
        <f t="shared" si="0"/>
        <v>50</v>
      </c>
      <c r="D70" s="51" t="str">
        <f>Main!D57</f>
        <v>CAD</v>
      </c>
      <c r="E70" s="83">
        <f>Main!E57</f>
        <v>0</v>
      </c>
      <c r="F70"/>
      <c r="G70" s="52">
        <f>Main!W57</f>
        <v>0</v>
      </c>
      <c r="H70" s="6">
        <f>Main!X57</f>
        <v>0</v>
      </c>
      <c r="I70" s="6">
        <f>Main!Y57</f>
        <v>0</v>
      </c>
      <c r="J70" s="53">
        <f>Main!AE57</f>
        <v>0</v>
      </c>
      <c r="K70"/>
      <c r="L70" s="52">
        <f>Main!AI57</f>
        <v>0</v>
      </c>
      <c r="M70" s="53">
        <f>Main!AJ57</f>
        <v>0</v>
      </c>
      <c r="N70"/>
      <c r="O70" s="54">
        <f>Main!AN57</f>
        <v>0</v>
      </c>
      <c r="P70" s="109">
        <f>Main!AO57</f>
        <v>0</v>
      </c>
      <c r="Q70"/>
      <c r="R70" s="27">
        <f>Main!AX57</f>
        <v>0</v>
      </c>
      <c r="S70" s="57">
        <f>Main!AY57</f>
        <v>0</v>
      </c>
      <c r="T70" s="57">
        <f>Main!AZ57</f>
        <v>0</v>
      </c>
      <c r="U70" s="61">
        <f>Main!BA57</f>
        <v>0</v>
      </c>
      <c r="V70" s="61">
        <f>Main!BB57</f>
        <v>0</v>
      </c>
      <c r="W70" s="13">
        <f>Main!BC57</f>
        <v>0</v>
      </c>
      <c r="X70" s="28">
        <f>Main!BD57</f>
        <v>0</v>
      </c>
      <c r="Y70" s="28">
        <f>Main!BE57</f>
        <v>0</v>
      </c>
      <c r="Z70" s="107" t="str">
        <f>Main!BF57</f>
        <v/>
      </c>
      <c r="AA70"/>
    </row>
    <row r="71" spans="2:27" hidden="1" x14ac:dyDescent="0.25">
      <c r="B71"/>
      <c r="C71" s="24">
        <f t="shared" si="0"/>
        <v>51</v>
      </c>
      <c r="D71" s="51" t="str">
        <f>Main!D58</f>
        <v>CAD</v>
      </c>
      <c r="E71" s="83">
        <f>Main!E58</f>
        <v>0</v>
      </c>
      <c r="F71"/>
      <c r="G71" s="52">
        <f>Main!W58</f>
        <v>0</v>
      </c>
      <c r="H71" s="6">
        <f>Main!X58</f>
        <v>0</v>
      </c>
      <c r="I71" s="6">
        <f>Main!Y58</f>
        <v>0</v>
      </c>
      <c r="J71" s="53">
        <f>Main!AE58</f>
        <v>0</v>
      </c>
      <c r="K71"/>
      <c r="L71" s="52">
        <f>Main!AI58</f>
        <v>0</v>
      </c>
      <c r="M71" s="53">
        <f>Main!AJ58</f>
        <v>0</v>
      </c>
      <c r="N71"/>
      <c r="O71" s="54">
        <f>Main!AN58</f>
        <v>0</v>
      </c>
      <c r="P71" s="109">
        <f>Main!AO58</f>
        <v>0</v>
      </c>
      <c r="Q71"/>
      <c r="R71" s="27">
        <f>Main!AX58</f>
        <v>0</v>
      </c>
      <c r="S71" s="57">
        <f>Main!AY58</f>
        <v>0</v>
      </c>
      <c r="T71" s="57">
        <f>Main!AZ58</f>
        <v>0</v>
      </c>
      <c r="U71" s="61">
        <f>Main!BA58</f>
        <v>0</v>
      </c>
      <c r="V71" s="61">
        <f>Main!BB58</f>
        <v>0</v>
      </c>
      <c r="W71" s="13">
        <f>Main!BC58</f>
        <v>0</v>
      </c>
      <c r="X71" s="28">
        <f>Main!BD58</f>
        <v>0</v>
      </c>
      <c r="Y71" s="28">
        <f>Main!BE58</f>
        <v>0</v>
      </c>
      <c r="Z71" s="107" t="str">
        <f>Main!BF58</f>
        <v/>
      </c>
      <c r="AA71"/>
    </row>
    <row r="72" spans="2:27" hidden="1" x14ac:dyDescent="0.25">
      <c r="B72"/>
      <c r="C72" s="24">
        <f t="shared" si="0"/>
        <v>52</v>
      </c>
      <c r="D72" s="51" t="str">
        <f>Main!D59</f>
        <v>CAD</v>
      </c>
      <c r="E72" s="83">
        <f>Main!E59</f>
        <v>0</v>
      </c>
      <c r="F72"/>
      <c r="G72" s="52">
        <f>Main!W59</f>
        <v>0</v>
      </c>
      <c r="H72" s="6">
        <f>Main!X59</f>
        <v>0</v>
      </c>
      <c r="I72" s="6">
        <f>Main!Y59</f>
        <v>0</v>
      </c>
      <c r="J72" s="53">
        <f>Main!AE59</f>
        <v>0</v>
      </c>
      <c r="K72"/>
      <c r="L72" s="52">
        <f>Main!AI59</f>
        <v>0</v>
      </c>
      <c r="M72" s="53">
        <f>Main!AJ59</f>
        <v>0</v>
      </c>
      <c r="N72"/>
      <c r="O72" s="54">
        <f>Main!AN59</f>
        <v>0</v>
      </c>
      <c r="P72" s="109">
        <f>Main!AO59</f>
        <v>0</v>
      </c>
      <c r="Q72"/>
      <c r="R72" s="27">
        <f>Main!AX59</f>
        <v>0</v>
      </c>
      <c r="S72" s="57">
        <f>Main!AY59</f>
        <v>0</v>
      </c>
      <c r="T72" s="57">
        <f>Main!AZ59</f>
        <v>0</v>
      </c>
      <c r="U72" s="61">
        <f>Main!BA59</f>
        <v>0</v>
      </c>
      <c r="V72" s="61">
        <f>Main!BB59</f>
        <v>0</v>
      </c>
      <c r="W72" s="13">
        <f>Main!BC59</f>
        <v>0</v>
      </c>
      <c r="X72" s="28">
        <f>Main!BD59</f>
        <v>0</v>
      </c>
      <c r="Y72" s="28">
        <f>Main!BE59</f>
        <v>0</v>
      </c>
      <c r="Z72" s="107" t="str">
        <f>Main!BF59</f>
        <v/>
      </c>
      <c r="AA72"/>
    </row>
    <row r="73" spans="2:27" ht="13.5" hidden="1" customHeight="1" x14ac:dyDescent="0.25">
      <c r="B73"/>
      <c r="C73" s="24">
        <f t="shared" si="0"/>
        <v>53</v>
      </c>
      <c r="D73" s="51" t="str">
        <f>Main!D60</f>
        <v>CAD</v>
      </c>
      <c r="E73" s="83">
        <f>Main!E60</f>
        <v>0</v>
      </c>
      <c r="F73"/>
      <c r="G73" s="52">
        <f>Main!W60</f>
        <v>0</v>
      </c>
      <c r="H73" s="6">
        <f>Main!X60</f>
        <v>0</v>
      </c>
      <c r="I73" s="6">
        <f>Main!Y60</f>
        <v>0</v>
      </c>
      <c r="J73" s="53">
        <f>Main!AE60</f>
        <v>0</v>
      </c>
      <c r="K73"/>
      <c r="L73" s="52">
        <f>Main!AI60</f>
        <v>0</v>
      </c>
      <c r="M73" s="53">
        <f>Main!AJ60</f>
        <v>0</v>
      </c>
      <c r="N73"/>
      <c r="O73" s="54">
        <f>Main!AN60</f>
        <v>0</v>
      </c>
      <c r="P73" s="109">
        <f>Main!AO60</f>
        <v>0</v>
      </c>
      <c r="Q73"/>
      <c r="R73" s="27">
        <f>Main!AX60</f>
        <v>0</v>
      </c>
      <c r="S73" s="57">
        <f>Main!AY60</f>
        <v>0</v>
      </c>
      <c r="T73" s="57">
        <f>Main!AZ60</f>
        <v>0</v>
      </c>
      <c r="U73" s="61">
        <f>Main!BA60</f>
        <v>0</v>
      </c>
      <c r="V73" s="61">
        <f>Main!BB60</f>
        <v>0</v>
      </c>
      <c r="W73" s="13">
        <f>Main!BC60</f>
        <v>0</v>
      </c>
      <c r="X73" s="28">
        <f>Main!BD60</f>
        <v>0</v>
      </c>
      <c r="Y73" s="28">
        <f>Main!BE60</f>
        <v>0</v>
      </c>
      <c r="Z73" s="107" t="str">
        <f>Main!BF60</f>
        <v/>
      </c>
      <c r="AA73"/>
    </row>
    <row r="74" spans="2:27" hidden="1" x14ac:dyDescent="0.25">
      <c r="B74"/>
      <c r="C74" s="24">
        <f t="shared" si="0"/>
        <v>54</v>
      </c>
      <c r="D74" s="51" t="str">
        <f>Main!D61</f>
        <v>CAD</v>
      </c>
      <c r="E74" s="83">
        <f>Main!E61</f>
        <v>0</v>
      </c>
      <c r="F74"/>
      <c r="G74" s="52">
        <f>Main!W61</f>
        <v>0</v>
      </c>
      <c r="H74" s="6">
        <f>Main!X61</f>
        <v>0</v>
      </c>
      <c r="I74" s="6">
        <f>Main!Y61</f>
        <v>0</v>
      </c>
      <c r="J74" s="53">
        <f>Main!AE61</f>
        <v>0</v>
      </c>
      <c r="K74"/>
      <c r="L74" s="52">
        <f>Main!AI61</f>
        <v>0</v>
      </c>
      <c r="M74" s="53">
        <f>Main!AJ61</f>
        <v>0</v>
      </c>
      <c r="N74"/>
      <c r="O74" s="54">
        <f>Main!AN61</f>
        <v>0</v>
      </c>
      <c r="P74" s="109">
        <f>Main!AO61</f>
        <v>0</v>
      </c>
      <c r="Q74"/>
      <c r="R74" s="27">
        <f>Main!AX61</f>
        <v>0</v>
      </c>
      <c r="S74" s="57">
        <f>Main!AY61</f>
        <v>0</v>
      </c>
      <c r="T74" s="57">
        <f>Main!AZ61</f>
        <v>0</v>
      </c>
      <c r="U74" s="61">
        <f>Main!BA61</f>
        <v>0</v>
      </c>
      <c r="V74" s="61">
        <f>Main!BB61</f>
        <v>0</v>
      </c>
      <c r="W74" s="13">
        <f>Main!BC61</f>
        <v>0</v>
      </c>
      <c r="X74" s="28">
        <f>Main!BD61</f>
        <v>0</v>
      </c>
      <c r="Y74" s="28">
        <f>Main!BE61</f>
        <v>0</v>
      </c>
      <c r="Z74" s="107" t="str">
        <f>Main!BF61</f>
        <v/>
      </c>
      <c r="AA74"/>
    </row>
    <row r="75" spans="2:27" hidden="1" x14ac:dyDescent="0.25">
      <c r="B75"/>
      <c r="C75" s="24">
        <f t="shared" si="0"/>
        <v>55</v>
      </c>
      <c r="D75" s="51" t="str">
        <f>Main!D62</f>
        <v>CAD</v>
      </c>
      <c r="E75" s="83">
        <f>Main!E62</f>
        <v>0</v>
      </c>
      <c r="F75"/>
      <c r="G75" s="52">
        <f>Main!W62</f>
        <v>0</v>
      </c>
      <c r="H75" s="6">
        <f>Main!X62</f>
        <v>0</v>
      </c>
      <c r="I75" s="6">
        <f>Main!Y62</f>
        <v>0</v>
      </c>
      <c r="J75" s="53">
        <f>Main!AE62</f>
        <v>0</v>
      </c>
      <c r="K75"/>
      <c r="L75" s="52">
        <f>Main!AI62</f>
        <v>0</v>
      </c>
      <c r="M75" s="53">
        <f>Main!AJ62</f>
        <v>0</v>
      </c>
      <c r="N75"/>
      <c r="O75" s="54">
        <f>Main!AN62</f>
        <v>0</v>
      </c>
      <c r="P75" s="109">
        <f>Main!AO62</f>
        <v>0</v>
      </c>
      <c r="Q75"/>
      <c r="R75" s="27">
        <f>Main!AX62</f>
        <v>0</v>
      </c>
      <c r="S75" s="57">
        <f>Main!AY62</f>
        <v>0</v>
      </c>
      <c r="T75" s="57">
        <f>Main!AZ62</f>
        <v>0</v>
      </c>
      <c r="U75" s="61">
        <f>Main!BA62</f>
        <v>0</v>
      </c>
      <c r="V75" s="61">
        <f>Main!BB62</f>
        <v>0</v>
      </c>
      <c r="W75" s="13">
        <f>Main!BC62</f>
        <v>0</v>
      </c>
      <c r="X75" s="28">
        <f>Main!BD62</f>
        <v>0</v>
      </c>
      <c r="Y75" s="28">
        <f>Main!BE62</f>
        <v>0</v>
      </c>
      <c r="Z75" s="107" t="str">
        <f>Main!BF62</f>
        <v/>
      </c>
      <c r="AA75"/>
    </row>
    <row r="76" spans="2:27" hidden="1" x14ac:dyDescent="0.25">
      <c r="B76"/>
      <c r="C76" s="24">
        <f t="shared" si="0"/>
        <v>56</v>
      </c>
      <c r="D76" s="51" t="str">
        <f>Main!D63</f>
        <v>CAD</v>
      </c>
      <c r="E76" s="83">
        <f>Main!E63</f>
        <v>0</v>
      </c>
      <c r="F76"/>
      <c r="G76" s="52">
        <f>Main!W63</f>
        <v>0</v>
      </c>
      <c r="H76" s="6">
        <f>Main!X63</f>
        <v>0</v>
      </c>
      <c r="I76" s="6">
        <f>Main!Y63</f>
        <v>0</v>
      </c>
      <c r="J76" s="53">
        <f>Main!AE63</f>
        <v>0</v>
      </c>
      <c r="K76"/>
      <c r="L76" s="52">
        <f>Main!AI63</f>
        <v>0</v>
      </c>
      <c r="M76" s="53">
        <f>Main!AJ63</f>
        <v>0</v>
      </c>
      <c r="N76"/>
      <c r="O76" s="54">
        <f>Main!AN63</f>
        <v>0</v>
      </c>
      <c r="P76" s="109">
        <f>Main!AO63</f>
        <v>0</v>
      </c>
      <c r="Q76"/>
      <c r="R76" s="27">
        <f>Main!AX63</f>
        <v>0</v>
      </c>
      <c r="S76" s="57">
        <f>Main!AY63</f>
        <v>0</v>
      </c>
      <c r="T76" s="57">
        <f>Main!AZ63</f>
        <v>0</v>
      </c>
      <c r="U76" s="61">
        <f>Main!BA63</f>
        <v>0</v>
      </c>
      <c r="V76" s="61">
        <f>Main!BB63</f>
        <v>0</v>
      </c>
      <c r="W76" s="13">
        <f>Main!BC63</f>
        <v>0</v>
      </c>
      <c r="X76" s="28">
        <f>Main!BD63</f>
        <v>0</v>
      </c>
      <c r="Y76" s="28">
        <f>Main!BE63</f>
        <v>0</v>
      </c>
      <c r="Z76" s="107" t="str">
        <f>Main!BF63</f>
        <v/>
      </c>
      <c r="AA76"/>
    </row>
    <row r="77" spans="2:27" hidden="1" x14ac:dyDescent="0.25">
      <c r="B77"/>
      <c r="C77" s="24">
        <f t="shared" si="0"/>
        <v>57</v>
      </c>
      <c r="D77" s="51" t="str">
        <f>Main!D64</f>
        <v>CAD</v>
      </c>
      <c r="E77" s="83">
        <f>Main!E64</f>
        <v>0</v>
      </c>
      <c r="F77"/>
      <c r="G77" s="52">
        <f>Main!W64</f>
        <v>0</v>
      </c>
      <c r="H77" s="6">
        <f>Main!X64</f>
        <v>0</v>
      </c>
      <c r="I77" s="6">
        <f>Main!Y64</f>
        <v>0</v>
      </c>
      <c r="J77" s="53">
        <f>Main!AE64</f>
        <v>0</v>
      </c>
      <c r="K77"/>
      <c r="L77" s="52">
        <f>Main!AI64</f>
        <v>0</v>
      </c>
      <c r="M77" s="53">
        <f>Main!AJ64</f>
        <v>0</v>
      </c>
      <c r="N77"/>
      <c r="O77" s="54">
        <f>Main!AN64</f>
        <v>0</v>
      </c>
      <c r="P77" s="109">
        <f>Main!AO64</f>
        <v>0</v>
      </c>
      <c r="Q77"/>
      <c r="R77" s="27">
        <f>Main!AX64</f>
        <v>0</v>
      </c>
      <c r="S77" s="57">
        <f>Main!AY64</f>
        <v>0</v>
      </c>
      <c r="T77" s="57">
        <f>Main!AZ64</f>
        <v>0</v>
      </c>
      <c r="U77" s="61">
        <f>Main!BA64</f>
        <v>0</v>
      </c>
      <c r="V77" s="61">
        <f>Main!BB64</f>
        <v>0</v>
      </c>
      <c r="W77" s="13">
        <f>Main!BC64</f>
        <v>0</v>
      </c>
      <c r="X77" s="28">
        <f>Main!BD64</f>
        <v>0</v>
      </c>
      <c r="Y77" s="28">
        <f>Main!BE64</f>
        <v>0</v>
      </c>
      <c r="Z77" s="107" t="str">
        <f>Main!BF64</f>
        <v/>
      </c>
      <c r="AA77"/>
    </row>
    <row r="78" spans="2:27" hidden="1" x14ac:dyDescent="0.25">
      <c r="B78"/>
      <c r="C78" s="24">
        <f t="shared" si="0"/>
        <v>58</v>
      </c>
      <c r="D78" s="51" t="str">
        <f>Main!D65</f>
        <v>CAD</v>
      </c>
      <c r="E78" s="83">
        <f>Main!E65</f>
        <v>0</v>
      </c>
      <c r="F78"/>
      <c r="G78" s="52">
        <f>Main!W65</f>
        <v>0</v>
      </c>
      <c r="H78" s="6">
        <f>Main!X65</f>
        <v>0</v>
      </c>
      <c r="I78" s="6">
        <f>Main!Y65</f>
        <v>0</v>
      </c>
      <c r="J78" s="53">
        <f>Main!AE65</f>
        <v>0</v>
      </c>
      <c r="K78"/>
      <c r="L78" s="52">
        <f>Main!AI65</f>
        <v>0</v>
      </c>
      <c r="M78" s="53">
        <f>Main!AJ65</f>
        <v>0</v>
      </c>
      <c r="N78"/>
      <c r="O78" s="54">
        <f>Main!AN65</f>
        <v>0</v>
      </c>
      <c r="P78" s="109">
        <f>Main!AO65</f>
        <v>0</v>
      </c>
      <c r="Q78"/>
      <c r="R78" s="27">
        <f>Main!AX65</f>
        <v>0</v>
      </c>
      <c r="S78" s="57">
        <f>Main!AY65</f>
        <v>0</v>
      </c>
      <c r="T78" s="57">
        <f>Main!AZ65</f>
        <v>0</v>
      </c>
      <c r="U78" s="61">
        <f>Main!BA65</f>
        <v>0</v>
      </c>
      <c r="V78" s="61">
        <f>Main!BB65</f>
        <v>0</v>
      </c>
      <c r="W78" s="13">
        <f>Main!BC65</f>
        <v>0</v>
      </c>
      <c r="X78" s="28">
        <f>Main!BD65</f>
        <v>0</v>
      </c>
      <c r="Y78" s="28">
        <f>Main!BE65</f>
        <v>0</v>
      </c>
      <c r="Z78" s="107" t="str">
        <f>Main!BF65</f>
        <v/>
      </c>
      <c r="AA78"/>
    </row>
    <row r="79" spans="2:27" hidden="1" x14ac:dyDescent="0.25">
      <c r="B79"/>
      <c r="C79" s="24">
        <f t="shared" si="0"/>
        <v>59</v>
      </c>
      <c r="D79" s="51" t="str">
        <f>Main!D66</f>
        <v>CAD</v>
      </c>
      <c r="E79" s="83">
        <f>Main!E66</f>
        <v>0</v>
      </c>
      <c r="F79"/>
      <c r="G79" s="52">
        <f>Main!W66</f>
        <v>0</v>
      </c>
      <c r="H79" s="6">
        <f>Main!X66</f>
        <v>0</v>
      </c>
      <c r="I79" s="6">
        <f>Main!Y66</f>
        <v>0</v>
      </c>
      <c r="J79" s="53">
        <f>Main!AE66</f>
        <v>0</v>
      </c>
      <c r="K79"/>
      <c r="L79" s="52">
        <f>Main!AI66</f>
        <v>0</v>
      </c>
      <c r="M79" s="53">
        <f>Main!AJ66</f>
        <v>0</v>
      </c>
      <c r="N79"/>
      <c r="O79" s="54">
        <f>Main!AN66</f>
        <v>0</v>
      </c>
      <c r="P79" s="109">
        <f>Main!AO66</f>
        <v>0</v>
      </c>
      <c r="Q79"/>
      <c r="R79" s="27">
        <f>Main!AX66</f>
        <v>0</v>
      </c>
      <c r="S79" s="57">
        <f>Main!AY66</f>
        <v>0</v>
      </c>
      <c r="T79" s="57">
        <f>Main!AZ66</f>
        <v>0</v>
      </c>
      <c r="U79" s="61">
        <f>Main!BA66</f>
        <v>0</v>
      </c>
      <c r="V79" s="61">
        <f>Main!BB66</f>
        <v>0</v>
      </c>
      <c r="W79" s="13">
        <f>Main!BC66</f>
        <v>0</v>
      </c>
      <c r="X79" s="28">
        <f>Main!BD66</f>
        <v>0</v>
      </c>
      <c r="Y79" s="28">
        <f>Main!BE66</f>
        <v>0</v>
      </c>
      <c r="Z79" s="107" t="str">
        <f>Main!BF66</f>
        <v/>
      </c>
      <c r="AA79"/>
    </row>
    <row r="80" spans="2:27" hidden="1" x14ac:dyDescent="0.25">
      <c r="B80"/>
      <c r="C80" s="24">
        <f t="shared" si="0"/>
        <v>60</v>
      </c>
      <c r="D80" s="51" t="str">
        <f>Main!D67</f>
        <v>CAD</v>
      </c>
      <c r="E80" s="83">
        <f>Main!E67</f>
        <v>0</v>
      </c>
      <c r="F80"/>
      <c r="G80" s="52">
        <f>Main!W67</f>
        <v>0</v>
      </c>
      <c r="H80" s="6">
        <f>Main!X67</f>
        <v>0</v>
      </c>
      <c r="I80" s="6">
        <f>Main!Y67</f>
        <v>0</v>
      </c>
      <c r="J80" s="53">
        <f>Main!AE67</f>
        <v>0</v>
      </c>
      <c r="K80"/>
      <c r="L80" s="52">
        <f>Main!AI67</f>
        <v>0</v>
      </c>
      <c r="M80" s="53">
        <f>Main!AJ67</f>
        <v>0</v>
      </c>
      <c r="N80"/>
      <c r="O80" s="54">
        <f>Main!AN67</f>
        <v>0</v>
      </c>
      <c r="P80" s="109">
        <f>Main!AO67</f>
        <v>0</v>
      </c>
      <c r="Q80"/>
      <c r="R80" s="27">
        <f>Main!AX67</f>
        <v>0</v>
      </c>
      <c r="S80" s="57">
        <f>Main!AY67</f>
        <v>0</v>
      </c>
      <c r="T80" s="57">
        <f>Main!AZ67</f>
        <v>0</v>
      </c>
      <c r="U80" s="61">
        <f>Main!BA67</f>
        <v>0</v>
      </c>
      <c r="V80" s="61">
        <f>Main!BB67</f>
        <v>0</v>
      </c>
      <c r="W80" s="13">
        <f>Main!BC67</f>
        <v>0</v>
      </c>
      <c r="X80" s="28">
        <f>Main!BD67</f>
        <v>0</v>
      </c>
      <c r="Y80" s="28">
        <f>Main!BE67</f>
        <v>0</v>
      </c>
      <c r="Z80" s="107" t="str">
        <f>Main!BF67</f>
        <v/>
      </c>
      <c r="AA80"/>
    </row>
    <row r="81" spans="2:27" hidden="1" x14ac:dyDescent="0.25">
      <c r="B81"/>
      <c r="C81" s="24">
        <f t="shared" si="0"/>
        <v>61</v>
      </c>
      <c r="D81" s="51" t="str">
        <f>Main!D68</f>
        <v>CAD</v>
      </c>
      <c r="E81" s="83">
        <f>Main!E68</f>
        <v>0</v>
      </c>
      <c r="F81"/>
      <c r="G81" s="52">
        <f>Main!W68</f>
        <v>0</v>
      </c>
      <c r="H81" s="6">
        <f>Main!X68</f>
        <v>0</v>
      </c>
      <c r="I81" s="6">
        <f>Main!Y68</f>
        <v>0</v>
      </c>
      <c r="J81" s="53">
        <f>Main!AE68</f>
        <v>0</v>
      </c>
      <c r="K81"/>
      <c r="L81" s="52">
        <f>Main!AI68</f>
        <v>0</v>
      </c>
      <c r="M81" s="53">
        <f>Main!AJ68</f>
        <v>0</v>
      </c>
      <c r="N81"/>
      <c r="O81" s="54">
        <f>Main!AN68</f>
        <v>0</v>
      </c>
      <c r="P81" s="109">
        <f>Main!AO68</f>
        <v>0</v>
      </c>
      <c r="Q81"/>
      <c r="R81" s="27">
        <f>Main!AX68</f>
        <v>0</v>
      </c>
      <c r="S81" s="57">
        <f>Main!AY68</f>
        <v>0</v>
      </c>
      <c r="T81" s="57">
        <f>Main!AZ68</f>
        <v>0</v>
      </c>
      <c r="U81" s="61">
        <f>Main!BA68</f>
        <v>0</v>
      </c>
      <c r="V81" s="61">
        <f>Main!BB68</f>
        <v>0</v>
      </c>
      <c r="W81" s="13">
        <f>Main!BC68</f>
        <v>0</v>
      </c>
      <c r="X81" s="28">
        <f>Main!BD68</f>
        <v>0</v>
      </c>
      <c r="Y81" s="28">
        <f>Main!BE68</f>
        <v>0</v>
      </c>
      <c r="Z81" s="107" t="str">
        <f>Main!BF68</f>
        <v/>
      </c>
      <c r="AA81"/>
    </row>
    <row r="82" spans="2:27" hidden="1" x14ac:dyDescent="0.25">
      <c r="B82"/>
      <c r="C82" s="24">
        <f t="shared" si="0"/>
        <v>62</v>
      </c>
      <c r="D82" s="51" t="str">
        <f>Main!D69</f>
        <v>CAD</v>
      </c>
      <c r="E82" s="83">
        <f>Main!E69</f>
        <v>0</v>
      </c>
      <c r="F82"/>
      <c r="G82" s="52">
        <f>Main!W69</f>
        <v>0</v>
      </c>
      <c r="H82" s="6">
        <f>Main!X69</f>
        <v>0</v>
      </c>
      <c r="I82" s="6">
        <f>Main!Y69</f>
        <v>0</v>
      </c>
      <c r="J82" s="53">
        <f>Main!AE69</f>
        <v>0</v>
      </c>
      <c r="K82"/>
      <c r="L82" s="52">
        <f>Main!AI69</f>
        <v>0</v>
      </c>
      <c r="M82" s="53">
        <f>Main!AJ69</f>
        <v>0</v>
      </c>
      <c r="N82"/>
      <c r="O82" s="54">
        <f>Main!AN69</f>
        <v>0</v>
      </c>
      <c r="P82" s="109">
        <f>Main!AO69</f>
        <v>0</v>
      </c>
      <c r="Q82"/>
      <c r="R82" s="27">
        <f>Main!AX69</f>
        <v>0</v>
      </c>
      <c r="S82" s="57">
        <f>Main!AY69</f>
        <v>0</v>
      </c>
      <c r="T82" s="57">
        <f>Main!AZ69</f>
        <v>0</v>
      </c>
      <c r="U82" s="61">
        <f>Main!BA69</f>
        <v>0</v>
      </c>
      <c r="V82" s="61">
        <f>Main!BB69</f>
        <v>0</v>
      </c>
      <c r="W82" s="13">
        <f>Main!BC69</f>
        <v>0</v>
      </c>
      <c r="X82" s="28">
        <f>Main!BD69</f>
        <v>0</v>
      </c>
      <c r="Y82" s="28">
        <f>Main!BE69</f>
        <v>0</v>
      </c>
      <c r="Z82" s="107" t="str">
        <f>Main!BF69</f>
        <v/>
      </c>
      <c r="AA82"/>
    </row>
    <row r="83" spans="2:27" hidden="1" x14ac:dyDescent="0.25">
      <c r="B83"/>
      <c r="C83" s="24">
        <f t="shared" si="0"/>
        <v>63</v>
      </c>
      <c r="D83" s="51" t="str">
        <f>Main!D70</f>
        <v>CAD</v>
      </c>
      <c r="E83" s="83">
        <f>Main!E70</f>
        <v>0</v>
      </c>
      <c r="F83"/>
      <c r="G83" s="52">
        <f>Main!W70</f>
        <v>0</v>
      </c>
      <c r="H83" s="6">
        <f>Main!X70</f>
        <v>0</v>
      </c>
      <c r="I83" s="6">
        <f>Main!Y70</f>
        <v>0</v>
      </c>
      <c r="J83" s="53">
        <f>Main!AE70</f>
        <v>0</v>
      </c>
      <c r="K83"/>
      <c r="L83" s="52">
        <f>Main!AI70</f>
        <v>0</v>
      </c>
      <c r="M83" s="53">
        <f>Main!AJ70</f>
        <v>0</v>
      </c>
      <c r="N83"/>
      <c r="O83" s="54">
        <f>Main!AN70</f>
        <v>0</v>
      </c>
      <c r="P83" s="109">
        <f>Main!AO70</f>
        <v>0</v>
      </c>
      <c r="Q83"/>
      <c r="R83" s="27">
        <f>Main!AX70</f>
        <v>0</v>
      </c>
      <c r="S83" s="57">
        <f>Main!AY70</f>
        <v>0</v>
      </c>
      <c r="T83" s="57">
        <f>Main!AZ70</f>
        <v>0</v>
      </c>
      <c r="U83" s="61">
        <f>Main!BA70</f>
        <v>0</v>
      </c>
      <c r="V83" s="61">
        <f>Main!BB70</f>
        <v>0</v>
      </c>
      <c r="W83" s="13">
        <f>Main!BC70</f>
        <v>0</v>
      </c>
      <c r="X83" s="28">
        <f>Main!BD70</f>
        <v>0</v>
      </c>
      <c r="Y83" s="28">
        <f>Main!BE70</f>
        <v>0</v>
      </c>
      <c r="Z83" s="107" t="str">
        <f>Main!BF70</f>
        <v/>
      </c>
      <c r="AA83"/>
    </row>
    <row r="84" spans="2:27" hidden="1" x14ac:dyDescent="0.25">
      <c r="B84"/>
      <c r="C84" s="24">
        <f t="shared" si="0"/>
        <v>64</v>
      </c>
      <c r="D84" s="51" t="str">
        <f>Main!D71</f>
        <v>CAD</v>
      </c>
      <c r="E84" s="83">
        <f>Main!E71</f>
        <v>0</v>
      </c>
      <c r="F84"/>
      <c r="G84" s="52">
        <f>Main!W71</f>
        <v>0</v>
      </c>
      <c r="H84" s="6">
        <f>Main!X71</f>
        <v>0</v>
      </c>
      <c r="I84" s="6">
        <f>Main!Y71</f>
        <v>0</v>
      </c>
      <c r="J84" s="53">
        <f>Main!AE71</f>
        <v>0</v>
      </c>
      <c r="K84"/>
      <c r="L84" s="52">
        <f>Main!AI71</f>
        <v>0</v>
      </c>
      <c r="M84" s="53">
        <f>Main!AJ71</f>
        <v>0</v>
      </c>
      <c r="N84"/>
      <c r="O84" s="54">
        <f>Main!AN71</f>
        <v>0</v>
      </c>
      <c r="P84" s="109">
        <f>Main!AO71</f>
        <v>0</v>
      </c>
      <c r="Q84"/>
      <c r="R84" s="27">
        <f>Main!AX71</f>
        <v>0</v>
      </c>
      <c r="S84" s="57">
        <f>Main!AY71</f>
        <v>0</v>
      </c>
      <c r="T84" s="57">
        <f>Main!AZ71</f>
        <v>0</v>
      </c>
      <c r="U84" s="61">
        <f>Main!BA71</f>
        <v>0</v>
      </c>
      <c r="V84" s="61">
        <f>Main!BB71</f>
        <v>0</v>
      </c>
      <c r="W84" s="13">
        <f>Main!BC71</f>
        <v>0</v>
      </c>
      <c r="X84" s="28">
        <f>Main!BD71</f>
        <v>0</v>
      </c>
      <c r="Y84" s="28">
        <f>Main!BE71</f>
        <v>0</v>
      </c>
      <c r="Z84" s="107" t="str">
        <f>Main!BF71</f>
        <v/>
      </c>
      <c r="AA84"/>
    </row>
    <row r="85" spans="2:27" hidden="1" x14ac:dyDescent="0.25">
      <c r="B85"/>
      <c r="C85" s="24">
        <f t="shared" si="0"/>
        <v>65</v>
      </c>
      <c r="D85" s="51" t="str">
        <f>Main!D72</f>
        <v>CAD</v>
      </c>
      <c r="E85" s="83">
        <f>Main!E72</f>
        <v>0</v>
      </c>
      <c r="F85"/>
      <c r="G85" s="52">
        <f>Main!W72</f>
        <v>0</v>
      </c>
      <c r="H85" s="6">
        <f>Main!X72</f>
        <v>0</v>
      </c>
      <c r="I85" s="6">
        <f>Main!Y72</f>
        <v>0</v>
      </c>
      <c r="J85" s="53">
        <f>Main!AE72</f>
        <v>0</v>
      </c>
      <c r="K85"/>
      <c r="L85" s="52">
        <f>Main!AI72</f>
        <v>0</v>
      </c>
      <c r="M85" s="53">
        <f>Main!AJ72</f>
        <v>0</v>
      </c>
      <c r="N85"/>
      <c r="O85" s="54">
        <f>Main!AN72</f>
        <v>0</v>
      </c>
      <c r="P85" s="109">
        <f>Main!AO72</f>
        <v>0</v>
      </c>
      <c r="Q85"/>
      <c r="R85" s="27">
        <f>Main!AX72</f>
        <v>0</v>
      </c>
      <c r="S85" s="57">
        <f>Main!AY72</f>
        <v>0</v>
      </c>
      <c r="T85" s="57">
        <f>Main!AZ72</f>
        <v>0</v>
      </c>
      <c r="U85" s="61">
        <f>Main!BA72</f>
        <v>0</v>
      </c>
      <c r="V85" s="61">
        <f>Main!BB72</f>
        <v>0</v>
      </c>
      <c r="W85" s="13">
        <f>Main!BC72</f>
        <v>0</v>
      </c>
      <c r="X85" s="28">
        <f>Main!BD72</f>
        <v>0</v>
      </c>
      <c r="Y85" s="28">
        <f>Main!BE72</f>
        <v>0</v>
      </c>
      <c r="Z85" s="107" t="str">
        <f>Main!BF72</f>
        <v/>
      </c>
      <c r="AA85"/>
    </row>
    <row r="86" spans="2:27" hidden="1" x14ac:dyDescent="0.25">
      <c r="B86"/>
      <c r="C86" s="24">
        <f t="shared" si="0"/>
        <v>66</v>
      </c>
      <c r="D86" s="51" t="str">
        <f>Main!D73</f>
        <v>CAD</v>
      </c>
      <c r="E86" s="83">
        <f>Main!E73</f>
        <v>0</v>
      </c>
      <c r="F86"/>
      <c r="G86" s="52">
        <f>Main!W73</f>
        <v>0</v>
      </c>
      <c r="H86" s="6">
        <f>Main!X73</f>
        <v>0</v>
      </c>
      <c r="I86" s="6">
        <f>Main!Y73</f>
        <v>0</v>
      </c>
      <c r="J86" s="53">
        <f>Main!AE73</f>
        <v>0</v>
      </c>
      <c r="K86"/>
      <c r="L86" s="52">
        <f>Main!AI73</f>
        <v>0</v>
      </c>
      <c r="M86" s="53">
        <f>Main!AJ73</f>
        <v>0</v>
      </c>
      <c r="N86"/>
      <c r="O86" s="54">
        <f>Main!AN73</f>
        <v>0</v>
      </c>
      <c r="P86" s="109">
        <f>Main!AO73</f>
        <v>0</v>
      </c>
      <c r="Q86"/>
      <c r="R86" s="27">
        <f>Main!AX73</f>
        <v>0</v>
      </c>
      <c r="S86" s="57">
        <f>Main!AY73</f>
        <v>0</v>
      </c>
      <c r="T86" s="57">
        <f>Main!AZ73</f>
        <v>0</v>
      </c>
      <c r="U86" s="61">
        <f>Main!BA73</f>
        <v>0</v>
      </c>
      <c r="V86" s="61">
        <f>Main!BB73</f>
        <v>0</v>
      </c>
      <c r="W86" s="13">
        <f>Main!BC73</f>
        <v>0</v>
      </c>
      <c r="X86" s="28">
        <f>Main!BD73</f>
        <v>0</v>
      </c>
      <c r="Y86" s="28">
        <f>Main!BE73</f>
        <v>0</v>
      </c>
      <c r="Z86" s="107" t="str">
        <f>Main!BF73</f>
        <v/>
      </c>
      <c r="AA86"/>
    </row>
    <row r="87" spans="2:27" hidden="1" x14ac:dyDescent="0.25">
      <c r="B87"/>
      <c r="C87" s="24">
        <f t="shared" ref="C87:C140" si="1">C86+1</f>
        <v>67</v>
      </c>
      <c r="D87" s="51" t="str">
        <f>Main!D74</f>
        <v>CAD</v>
      </c>
      <c r="E87" s="83">
        <f>Main!E74</f>
        <v>0</v>
      </c>
      <c r="F87"/>
      <c r="G87" s="52">
        <f>Main!W74</f>
        <v>0</v>
      </c>
      <c r="H87" s="6">
        <f>Main!X74</f>
        <v>0</v>
      </c>
      <c r="I87" s="6">
        <f>Main!Y74</f>
        <v>0</v>
      </c>
      <c r="J87" s="53">
        <f>Main!AE74</f>
        <v>0</v>
      </c>
      <c r="K87"/>
      <c r="L87" s="52">
        <f>Main!AI74</f>
        <v>0</v>
      </c>
      <c r="M87" s="53">
        <f>Main!AJ74</f>
        <v>0</v>
      </c>
      <c r="N87"/>
      <c r="O87" s="54">
        <f>Main!AN74</f>
        <v>0</v>
      </c>
      <c r="P87" s="109">
        <f>Main!AO74</f>
        <v>0</v>
      </c>
      <c r="Q87"/>
      <c r="R87" s="27">
        <f>Main!AX74</f>
        <v>0</v>
      </c>
      <c r="S87" s="57">
        <f>Main!AY74</f>
        <v>0</v>
      </c>
      <c r="T87" s="57">
        <f>Main!AZ74</f>
        <v>0</v>
      </c>
      <c r="U87" s="61">
        <f>Main!BA74</f>
        <v>0</v>
      </c>
      <c r="V87" s="61">
        <f>Main!BB74</f>
        <v>0</v>
      </c>
      <c r="W87" s="13">
        <f>Main!BC74</f>
        <v>0</v>
      </c>
      <c r="X87" s="28">
        <f>Main!BD74</f>
        <v>0</v>
      </c>
      <c r="Y87" s="28">
        <f>Main!BE74</f>
        <v>0</v>
      </c>
      <c r="Z87" s="107" t="str">
        <f>Main!BF74</f>
        <v/>
      </c>
      <c r="AA87"/>
    </row>
    <row r="88" spans="2:27" hidden="1" x14ac:dyDescent="0.25">
      <c r="B88"/>
      <c r="C88" s="24">
        <f t="shared" si="1"/>
        <v>68</v>
      </c>
      <c r="D88" s="51" t="str">
        <f>Main!D75</f>
        <v>CAD</v>
      </c>
      <c r="E88" s="83">
        <f>Main!E75</f>
        <v>0</v>
      </c>
      <c r="F88"/>
      <c r="G88" s="52">
        <f>Main!W75</f>
        <v>0</v>
      </c>
      <c r="H88" s="6">
        <f>Main!X75</f>
        <v>0</v>
      </c>
      <c r="I88" s="6">
        <f>Main!Y75</f>
        <v>0</v>
      </c>
      <c r="J88" s="53">
        <f>Main!AE75</f>
        <v>0</v>
      </c>
      <c r="K88"/>
      <c r="L88" s="52">
        <f>Main!AI75</f>
        <v>0</v>
      </c>
      <c r="M88" s="53">
        <f>Main!AJ75</f>
        <v>0</v>
      </c>
      <c r="N88"/>
      <c r="O88" s="54">
        <f>Main!AN75</f>
        <v>0</v>
      </c>
      <c r="P88" s="109">
        <f>Main!AO75</f>
        <v>0</v>
      </c>
      <c r="Q88"/>
      <c r="R88" s="27">
        <f>Main!AX75</f>
        <v>0</v>
      </c>
      <c r="S88" s="57">
        <f>Main!AY75</f>
        <v>0</v>
      </c>
      <c r="T88" s="57">
        <f>Main!AZ75</f>
        <v>0</v>
      </c>
      <c r="U88" s="61">
        <f>Main!BA75</f>
        <v>0</v>
      </c>
      <c r="V88" s="61">
        <f>Main!BB75</f>
        <v>0</v>
      </c>
      <c r="W88" s="13">
        <f>Main!BC75</f>
        <v>0</v>
      </c>
      <c r="X88" s="28">
        <f>Main!BD75</f>
        <v>0</v>
      </c>
      <c r="Y88" s="28">
        <f>Main!BE75</f>
        <v>0</v>
      </c>
      <c r="Z88" s="107" t="str">
        <f>Main!BF75</f>
        <v/>
      </c>
      <c r="AA88"/>
    </row>
    <row r="89" spans="2:27" hidden="1" x14ac:dyDescent="0.25">
      <c r="B89"/>
      <c r="C89" s="24">
        <f t="shared" si="1"/>
        <v>69</v>
      </c>
      <c r="D89" s="51" t="str">
        <f>Main!D76</f>
        <v>CAD</v>
      </c>
      <c r="E89" s="83">
        <f>Main!E76</f>
        <v>0</v>
      </c>
      <c r="F89"/>
      <c r="G89" s="52">
        <f>Main!W76</f>
        <v>0</v>
      </c>
      <c r="H89" s="6">
        <f>Main!X76</f>
        <v>0</v>
      </c>
      <c r="I89" s="6">
        <f>Main!Y76</f>
        <v>0</v>
      </c>
      <c r="J89" s="53">
        <f>Main!AE76</f>
        <v>0</v>
      </c>
      <c r="K89"/>
      <c r="L89" s="52">
        <f>Main!AI76</f>
        <v>0</v>
      </c>
      <c r="M89" s="53">
        <f>Main!AJ76</f>
        <v>0</v>
      </c>
      <c r="N89"/>
      <c r="O89" s="54">
        <f>Main!AN76</f>
        <v>0</v>
      </c>
      <c r="P89" s="109">
        <f>Main!AO76</f>
        <v>0</v>
      </c>
      <c r="Q89"/>
      <c r="R89" s="27">
        <f>Main!AX76</f>
        <v>0</v>
      </c>
      <c r="S89" s="57">
        <f>Main!AY76</f>
        <v>0</v>
      </c>
      <c r="T89" s="57">
        <f>Main!AZ76</f>
        <v>0</v>
      </c>
      <c r="U89" s="61">
        <f>Main!BA76</f>
        <v>0</v>
      </c>
      <c r="V89" s="61">
        <f>Main!BB76</f>
        <v>0</v>
      </c>
      <c r="W89" s="13">
        <f>Main!BC76</f>
        <v>0</v>
      </c>
      <c r="X89" s="28">
        <f>Main!BD76</f>
        <v>0</v>
      </c>
      <c r="Y89" s="28">
        <f>Main!BE76</f>
        <v>0</v>
      </c>
      <c r="Z89" s="107" t="str">
        <f>Main!BF76</f>
        <v/>
      </c>
      <c r="AA89"/>
    </row>
    <row r="90" spans="2:27" hidden="1" x14ac:dyDescent="0.25">
      <c r="B90"/>
      <c r="C90" s="24">
        <f t="shared" si="1"/>
        <v>70</v>
      </c>
      <c r="D90" s="51" t="str">
        <f>Main!D77</f>
        <v>CAD</v>
      </c>
      <c r="E90" s="83">
        <f>Main!E77</f>
        <v>0</v>
      </c>
      <c r="F90"/>
      <c r="G90" s="52">
        <f>Main!W77</f>
        <v>0</v>
      </c>
      <c r="H90" s="6">
        <f>Main!X77</f>
        <v>0</v>
      </c>
      <c r="I90" s="6">
        <f>Main!Y77</f>
        <v>0</v>
      </c>
      <c r="J90" s="53">
        <f>Main!AE77</f>
        <v>0</v>
      </c>
      <c r="K90"/>
      <c r="L90" s="52">
        <f>Main!AI77</f>
        <v>0</v>
      </c>
      <c r="M90" s="53">
        <f>Main!AJ77</f>
        <v>0</v>
      </c>
      <c r="N90"/>
      <c r="O90" s="54">
        <f>Main!AN77</f>
        <v>0</v>
      </c>
      <c r="P90" s="109">
        <f>Main!AO77</f>
        <v>0</v>
      </c>
      <c r="Q90"/>
      <c r="R90" s="27">
        <f>Main!AX77</f>
        <v>0</v>
      </c>
      <c r="S90" s="57">
        <f>Main!AY77</f>
        <v>0</v>
      </c>
      <c r="T90" s="57">
        <f>Main!AZ77</f>
        <v>0</v>
      </c>
      <c r="U90" s="61">
        <f>Main!BA77</f>
        <v>0</v>
      </c>
      <c r="V90" s="61">
        <f>Main!BB77</f>
        <v>0</v>
      </c>
      <c r="W90" s="13">
        <f>Main!BC77</f>
        <v>0</v>
      </c>
      <c r="X90" s="28">
        <f>Main!BD77</f>
        <v>0</v>
      </c>
      <c r="Y90" s="28">
        <f>Main!BE77</f>
        <v>0</v>
      </c>
      <c r="Z90" s="107" t="str">
        <f>Main!BF77</f>
        <v/>
      </c>
      <c r="AA90"/>
    </row>
    <row r="91" spans="2:27" hidden="1" x14ac:dyDescent="0.25">
      <c r="B91"/>
      <c r="C91" s="24">
        <f t="shared" si="1"/>
        <v>71</v>
      </c>
      <c r="D91" s="51" t="str">
        <f>Main!D78</f>
        <v>CAD</v>
      </c>
      <c r="E91" s="83">
        <f>Main!E78</f>
        <v>0</v>
      </c>
      <c r="F91"/>
      <c r="G91" s="52">
        <f>Main!W78</f>
        <v>0</v>
      </c>
      <c r="H91" s="6">
        <f>Main!X78</f>
        <v>0</v>
      </c>
      <c r="I91" s="6">
        <f>Main!Y78</f>
        <v>0</v>
      </c>
      <c r="J91" s="53">
        <f>Main!AE78</f>
        <v>0</v>
      </c>
      <c r="K91"/>
      <c r="L91" s="52">
        <f>Main!AI78</f>
        <v>0</v>
      </c>
      <c r="M91" s="53">
        <f>Main!AJ78</f>
        <v>0</v>
      </c>
      <c r="N91"/>
      <c r="O91" s="54">
        <f>Main!AN78</f>
        <v>0</v>
      </c>
      <c r="P91" s="109">
        <f>Main!AO78</f>
        <v>0</v>
      </c>
      <c r="Q91"/>
      <c r="R91" s="27">
        <f>Main!AX78</f>
        <v>0</v>
      </c>
      <c r="S91" s="57">
        <f>Main!AY78</f>
        <v>0</v>
      </c>
      <c r="T91" s="57">
        <f>Main!AZ78</f>
        <v>0</v>
      </c>
      <c r="U91" s="61">
        <f>Main!BA78</f>
        <v>0</v>
      </c>
      <c r="V91" s="61">
        <f>Main!BB78</f>
        <v>0</v>
      </c>
      <c r="W91" s="13">
        <f>Main!BC78</f>
        <v>0</v>
      </c>
      <c r="X91" s="28">
        <f>Main!BD78</f>
        <v>0</v>
      </c>
      <c r="Y91" s="28">
        <f>Main!BE78</f>
        <v>0</v>
      </c>
      <c r="Z91" s="107" t="str">
        <f>Main!BF78</f>
        <v/>
      </c>
      <c r="AA91"/>
    </row>
    <row r="92" spans="2:27" hidden="1" x14ac:dyDescent="0.25">
      <c r="B92"/>
      <c r="C92" s="24">
        <f t="shared" si="1"/>
        <v>72</v>
      </c>
      <c r="D92" s="51" t="str">
        <f>Main!D79</f>
        <v>CAD</v>
      </c>
      <c r="E92" s="83">
        <f>Main!E79</f>
        <v>0</v>
      </c>
      <c r="F92"/>
      <c r="G92" s="52">
        <f>Main!W79</f>
        <v>0</v>
      </c>
      <c r="H92" s="6">
        <f>Main!X79</f>
        <v>0</v>
      </c>
      <c r="I92" s="6">
        <f>Main!Y79</f>
        <v>0</v>
      </c>
      <c r="J92" s="53">
        <f>Main!AE79</f>
        <v>0</v>
      </c>
      <c r="K92"/>
      <c r="L92" s="52">
        <f>Main!AI79</f>
        <v>0</v>
      </c>
      <c r="M92" s="53">
        <f>Main!AJ79</f>
        <v>0</v>
      </c>
      <c r="N92"/>
      <c r="O92" s="54">
        <f>Main!AN79</f>
        <v>0</v>
      </c>
      <c r="P92" s="109">
        <f>Main!AO79</f>
        <v>0</v>
      </c>
      <c r="Q92"/>
      <c r="R92" s="27">
        <f>Main!AX79</f>
        <v>0</v>
      </c>
      <c r="S92" s="57">
        <f>Main!AY79</f>
        <v>0</v>
      </c>
      <c r="T92" s="57">
        <f>Main!AZ79</f>
        <v>0</v>
      </c>
      <c r="U92" s="61">
        <f>Main!BA79</f>
        <v>0</v>
      </c>
      <c r="V92" s="61">
        <f>Main!BB79</f>
        <v>0</v>
      </c>
      <c r="W92" s="13">
        <f>Main!BC79</f>
        <v>0</v>
      </c>
      <c r="X92" s="28">
        <f>Main!BD79</f>
        <v>0</v>
      </c>
      <c r="Y92" s="28">
        <f>Main!BE79</f>
        <v>0</v>
      </c>
      <c r="Z92" s="107" t="str">
        <f>Main!BF79</f>
        <v/>
      </c>
      <c r="AA92"/>
    </row>
    <row r="93" spans="2:27" hidden="1" x14ac:dyDescent="0.25">
      <c r="B93"/>
      <c r="C93" s="24">
        <f t="shared" si="1"/>
        <v>73</v>
      </c>
      <c r="D93" s="51" t="str">
        <f>Main!D80</f>
        <v>CAD</v>
      </c>
      <c r="E93" s="83">
        <f>Main!E80</f>
        <v>0</v>
      </c>
      <c r="F93"/>
      <c r="G93" s="52">
        <f>Main!W80</f>
        <v>0</v>
      </c>
      <c r="H93" s="6">
        <f>Main!X80</f>
        <v>0</v>
      </c>
      <c r="I93" s="6">
        <f>Main!Y80</f>
        <v>0</v>
      </c>
      <c r="J93" s="53">
        <f>Main!AE80</f>
        <v>0</v>
      </c>
      <c r="K93"/>
      <c r="L93" s="52">
        <f>Main!AI80</f>
        <v>0</v>
      </c>
      <c r="M93" s="53">
        <f>Main!AJ80</f>
        <v>0</v>
      </c>
      <c r="N93"/>
      <c r="O93" s="54">
        <f>Main!AN80</f>
        <v>0</v>
      </c>
      <c r="P93" s="109">
        <f>Main!AO80</f>
        <v>0</v>
      </c>
      <c r="Q93"/>
      <c r="R93" s="27">
        <f>Main!AX80</f>
        <v>0</v>
      </c>
      <c r="S93" s="57">
        <f>Main!AY80</f>
        <v>0</v>
      </c>
      <c r="T93" s="57">
        <f>Main!AZ80</f>
        <v>0</v>
      </c>
      <c r="U93" s="61">
        <f>Main!BA80</f>
        <v>0</v>
      </c>
      <c r="V93" s="61">
        <f>Main!BB80</f>
        <v>0</v>
      </c>
      <c r="W93" s="13">
        <f>Main!BC80</f>
        <v>0</v>
      </c>
      <c r="X93" s="28">
        <f>Main!BD80</f>
        <v>0</v>
      </c>
      <c r="Y93" s="28">
        <f>Main!BE80</f>
        <v>0</v>
      </c>
      <c r="Z93" s="107" t="str">
        <f>Main!BF80</f>
        <v/>
      </c>
      <c r="AA93"/>
    </row>
    <row r="94" spans="2:27" hidden="1" x14ac:dyDescent="0.25">
      <c r="B94"/>
      <c r="C94" s="24">
        <f t="shared" si="1"/>
        <v>74</v>
      </c>
      <c r="D94" s="51" t="str">
        <f>Main!D81</f>
        <v>CAD</v>
      </c>
      <c r="E94" s="83">
        <f>Main!E81</f>
        <v>0</v>
      </c>
      <c r="F94"/>
      <c r="G94" s="52">
        <f>Main!W81</f>
        <v>0</v>
      </c>
      <c r="H94" s="6">
        <f>Main!X81</f>
        <v>0</v>
      </c>
      <c r="I94" s="6">
        <f>Main!Y81</f>
        <v>0</v>
      </c>
      <c r="J94" s="53">
        <f>Main!AE81</f>
        <v>0</v>
      </c>
      <c r="K94"/>
      <c r="L94" s="52">
        <f>Main!AI81</f>
        <v>0</v>
      </c>
      <c r="M94" s="53">
        <f>Main!AJ81</f>
        <v>0</v>
      </c>
      <c r="N94"/>
      <c r="O94" s="54">
        <f>Main!AN81</f>
        <v>0</v>
      </c>
      <c r="P94" s="109">
        <f>Main!AO81</f>
        <v>0</v>
      </c>
      <c r="Q94"/>
      <c r="R94" s="27">
        <f>Main!AX81</f>
        <v>0</v>
      </c>
      <c r="S94" s="57">
        <f>Main!AY81</f>
        <v>0</v>
      </c>
      <c r="T94" s="57">
        <f>Main!AZ81</f>
        <v>0</v>
      </c>
      <c r="U94" s="61">
        <f>Main!BA81</f>
        <v>0</v>
      </c>
      <c r="V94" s="61">
        <f>Main!BB81</f>
        <v>0</v>
      </c>
      <c r="W94" s="13">
        <f>Main!BC81</f>
        <v>0</v>
      </c>
      <c r="X94" s="28">
        <f>Main!BD81</f>
        <v>0</v>
      </c>
      <c r="Y94" s="28">
        <f>Main!BE81</f>
        <v>0</v>
      </c>
      <c r="Z94" s="107" t="str">
        <f>Main!BF81</f>
        <v/>
      </c>
      <c r="AA94"/>
    </row>
    <row r="95" spans="2:27" hidden="1" x14ac:dyDescent="0.25">
      <c r="B95"/>
      <c r="C95" s="24">
        <f t="shared" si="1"/>
        <v>75</v>
      </c>
      <c r="D95" s="51" t="str">
        <f>Main!D82</f>
        <v>CAD</v>
      </c>
      <c r="E95" s="83">
        <f>Main!E82</f>
        <v>0</v>
      </c>
      <c r="F95"/>
      <c r="G95" s="52">
        <f>Main!W82</f>
        <v>0</v>
      </c>
      <c r="H95" s="6">
        <f>Main!X82</f>
        <v>0</v>
      </c>
      <c r="I95" s="6">
        <f>Main!Y82</f>
        <v>0</v>
      </c>
      <c r="J95" s="53">
        <f>Main!AE82</f>
        <v>0</v>
      </c>
      <c r="K95"/>
      <c r="L95" s="52">
        <f>Main!AI82</f>
        <v>0</v>
      </c>
      <c r="M95" s="53">
        <f>Main!AJ82</f>
        <v>0</v>
      </c>
      <c r="N95"/>
      <c r="O95" s="54">
        <f>Main!AN82</f>
        <v>0</v>
      </c>
      <c r="P95" s="109">
        <f>Main!AO82</f>
        <v>0</v>
      </c>
      <c r="Q95"/>
      <c r="R95" s="27">
        <f>Main!AX82</f>
        <v>0</v>
      </c>
      <c r="S95" s="57">
        <f>Main!AY82</f>
        <v>0</v>
      </c>
      <c r="T95" s="57">
        <f>Main!AZ82</f>
        <v>0</v>
      </c>
      <c r="U95" s="61">
        <f>Main!BA82</f>
        <v>0</v>
      </c>
      <c r="V95" s="61">
        <f>Main!BB82</f>
        <v>0</v>
      </c>
      <c r="W95" s="13">
        <f>Main!BC82</f>
        <v>0</v>
      </c>
      <c r="X95" s="28">
        <f>Main!BD82</f>
        <v>0</v>
      </c>
      <c r="Y95" s="28">
        <f>Main!BE82</f>
        <v>0</v>
      </c>
      <c r="Z95" s="107" t="str">
        <f>Main!BF82</f>
        <v/>
      </c>
      <c r="AA95"/>
    </row>
    <row r="96" spans="2:27" hidden="1" x14ac:dyDescent="0.25">
      <c r="B96"/>
      <c r="C96" s="24">
        <f t="shared" si="1"/>
        <v>76</v>
      </c>
      <c r="D96" s="51" t="str">
        <f>Main!D83</f>
        <v>CAD</v>
      </c>
      <c r="E96" s="83">
        <f>Main!E83</f>
        <v>0</v>
      </c>
      <c r="F96"/>
      <c r="G96" s="52">
        <f>Main!W83</f>
        <v>0</v>
      </c>
      <c r="H96" s="6">
        <f>Main!X83</f>
        <v>0</v>
      </c>
      <c r="I96" s="6">
        <f>Main!Y83</f>
        <v>0</v>
      </c>
      <c r="J96" s="53">
        <f>Main!AE83</f>
        <v>0</v>
      </c>
      <c r="K96"/>
      <c r="L96" s="52">
        <f>Main!AI83</f>
        <v>0</v>
      </c>
      <c r="M96" s="53">
        <f>Main!AJ83</f>
        <v>0</v>
      </c>
      <c r="N96"/>
      <c r="O96" s="54">
        <f>Main!AN83</f>
        <v>0</v>
      </c>
      <c r="P96" s="109">
        <f>Main!AO83</f>
        <v>0</v>
      </c>
      <c r="Q96"/>
      <c r="R96" s="27">
        <f>Main!AX83</f>
        <v>0</v>
      </c>
      <c r="S96" s="57">
        <f>Main!AY83</f>
        <v>0</v>
      </c>
      <c r="T96" s="57">
        <f>Main!AZ83</f>
        <v>0</v>
      </c>
      <c r="U96" s="61">
        <f>Main!BA83</f>
        <v>0</v>
      </c>
      <c r="V96" s="61">
        <f>Main!BB83</f>
        <v>0</v>
      </c>
      <c r="W96" s="13">
        <f>Main!BC83</f>
        <v>0</v>
      </c>
      <c r="X96" s="28">
        <f>Main!BD83</f>
        <v>0</v>
      </c>
      <c r="Y96" s="28">
        <f>Main!BE83</f>
        <v>0</v>
      </c>
      <c r="Z96" s="107" t="str">
        <f>Main!BF83</f>
        <v/>
      </c>
      <c r="AA96"/>
    </row>
    <row r="97" spans="2:27" hidden="1" x14ac:dyDescent="0.25">
      <c r="B97"/>
      <c r="C97" s="24">
        <f t="shared" si="1"/>
        <v>77</v>
      </c>
      <c r="D97" s="51" t="str">
        <f>Main!D84</f>
        <v>CAD</v>
      </c>
      <c r="E97" s="83">
        <f>Main!E84</f>
        <v>0</v>
      </c>
      <c r="F97"/>
      <c r="G97" s="52">
        <f>Main!W84</f>
        <v>0</v>
      </c>
      <c r="H97" s="6">
        <f>Main!X84</f>
        <v>0</v>
      </c>
      <c r="I97" s="6">
        <f>Main!Y84</f>
        <v>0</v>
      </c>
      <c r="J97" s="53">
        <f>Main!AE84</f>
        <v>0</v>
      </c>
      <c r="K97"/>
      <c r="L97" s="52">
        <f>Main!AI84</f>
        <v>0</v>
      </c>
      <c r="M97" s="53">
        <f>Main!AJ84</f>
        <v>0</v>
      </c>
      <c r="N97"/>
      <c r="O97" s="54">
        <f>Main!AN84</f>
        <v>0</v>
      </c>
      <c r="P97" s="109">
        <f>Main!AO84</f>
        <v>0</v>
      </c>
      <c r="Q97"/>
      <c r="R97" s="27">
        <f>Main!AX84</f>
        <v>0</v>
      </c>
      <c r="S97" s="57">
        <f>Main!AY84</f>
        <v>0</v>
      </c>
      <c r="T97" s="57">
        <f>Main!AZ84</f>
        <v>0</v>
      </c>
      <c r="U97" s="61">
        <f>Main!BA84</f>
        <v>0</v>
      </c>
      <c r="V97" s="61">
        <f>Main!BB84</f>
        <v>0</v>
      </c>
      <c r="W97" s="13">
        <f>Main!BC84</f>
        <v>0</v>
      </c>
      <c r="X97" s="28">
        <f>Main!BD84</f>
        <v>0</v>
      </c>
      <c r="Y97" s="28">
        <f>Main!BE84</f>
        <v>0</v>
      </c>
      <c r="Z97" s="107" t="str">
        <f>Main!BF84</f>
        <v/>
      </c>
      <c r="AA97"/>
    </row>
    <row r="98" spans="2:27" hidden="1" x14ac:dyDescent="0.25">
      <c r="B98"/>
      <c r="C98" s="24">
        <f t="shared" si="1"/>
        <v>78</v>
      </c>
      <c r="D98" s="51" t="str">
        <f>Main!D85</f>
        <v>CAD</v>
      </c>
      <c r="E98" s="83">
        <f>Main!E85</f>
        <v>0</v>
      </c>
      <c r="F98"/>
      <c r="G98" s="52">
        <f>Main!W85</f>
        <v>0</v>
      </c>
      <c r="H98" s="6">
        <f>Main!X85</f>
        <v>0</v>
      </c>
      <c r="I98" s="6">
        <f>Main!Y85</f>
        <v>0</v>
      </c>
      <c r="J98" s="53">
        <f>Main!AE85</f>
        <v>0</v>
      </c>
      <c r="K98"/>
      <c r="L98" s="52">
        <f>Main!AI85</f>
        <v>0</v>
      </c>
      <c r="M98" s="53">
        <f>Main!AJ85</f>
        <v>0</v>
      </c>
      <c r="N98"/>
      <c r="O98" s="54">
        <f>Main!AN85</f>
        <v>0</v>
      </c>
      <c r="P98" s="109">
        <f>Main!AO85</f>
        <v>0</v>
      </c>
      <c r="Q98"/>
      <c r="R98" s="27">
        <f>Main!AX85</f>
        <v>0</v>
      </c>
      <c r="S98" s="57">
        <f>Main!AY85</f>
        <v>0</v>
      </c>
      <c r="T98" s="57">
        <f>Main!AZ85</f>
        <v>0</v>
      </c>
      <c r="U98" s="61">
        <f>Main!BA85</f>
        <v>0</v>
      </c>
      <c r="V98" s="61">
        <f>Main!BB85</f>
        <v>0</v>
      </c>
      <c r="W98" s="13">
        <f>Main!BC85</f>
        <v>0</v>
      </c>
      <c r="X98" s="28">
        <f>Main!BD85</f>
        <v>0</v>
      </c>
      <c r="Y98" s="28">
        <f>Main!BE85</f>
        <v>0</v>
      </c>
      <c r="Z98" s="107" t="str">
        <f>Main!BF85</f>
        <v/>
      </c>
      <c r="AA98"/>
    </row>
    <row r="99" spans="2:27" hidden="1" x14ac:dyDescent="0.25">
      <c r="B99"/>
      <c r="C99" s="24">
        <f t="shared" si="1"/>
        <v>79</v>
      </c>
      <c r="D99" s="51" t="str">
        <f>Main!D86</f>
        <v>CAD</v>
      </c>
      <c r="E99" s="83">
        <f>Main!E86</f>
        <v>0</v>
      </c>
      <c r="F99"/>
      <c r="G99" s="52">
        <f>Main!W86</f>
        <v>0</v>
      </c>
      <c r="H99" s="6">
        <f>Main!X86</f>
        <v>0</v>
      </c>
      <c r="I99" s="6">
        <f>Main!Y86</f>
        <v>0</v>
      </c>
      <c r="J99" s="53">
        <f>Main!AE86</f>
        <v>0</v>
      </c>
      <c r="K99"/>
      <c r="L99" s="52">
        <f>Main!AI86</f>
        <v>0</v>
      </c>
      <c r="M99" s="53">
        <f>Main!AJ86</f>
        <v>0</v>
      </c>
      <c r="N99"/>
      <c r="O99" s="54">
        <f>Main!AN86</f>
        <v>0</v>
      </c>
      <c r="P99" s="109">
        <f>Main!AO86</f>
        <v>0</v>
      </c>
      <c r="Q99"/>
      <c r="R99" s="27">
        <f>Main!AX86</f>
        <v>0</v>
      </c>
      <c r="S99" s="57">
        <f>Main!AY86</f>
        <v>0</v>
      </c>
      <c r="T99" s="57">
        <f>Main!AZ86</f>
        <v>0</v>
      </c>
      <c r="U99" s="61">
        <f>Main!BA86</f>
        <v>0</v>
      </c>
      <c r="V99" s="61">
        <f>Main!BB86</f>
        <v>0</v>
      </c>
      <c r="W99" s="13">
        <f>Main!BC86</f>
        <v>0</v>
      </c>
      <c r="X99" s="28">
        <f>Main!BD86</f>
        <v>0</v>
      </c>
      <c r="Y99" s="28">
        <f>Main!BE86</f>
        <v>0</v>
      </c>
      <c r="Z99" s="107" t="str">
        <f>Main!BF86</f>
        <v/>
      </c>
      <c r="AA99"/>
    </row>
    <row r="100" spans="2:27" hidden="1" x14ac:dyDescent="0.25">
      <c r="B100"/>
      <c r="C100" s="24">
        <f t="shared" si="1"/>
        <v>80</v>
      </c>
      <c r="D100" s="51" t="str">
        <f>Main!D87</f>
        <v>CAD</v>
      </c>
      <c r="E100" s="83">
        <f>Main!E87</f>
        <v>0</v>
      </c>
      <c r="F100"/>
      <c r="G100" s="52">
        <f>Main!W87</f>
        <v>0</v>
      </c>
      <c r="H100" s="6">
        <f>Main!X87</f>
        <v>0</v>
      </c>
      <c r="I100" s="6">
        <f>Main!Y87</f>
        <v>0</v>
      </c>
      <c r="J100" s="53">
        <f>Main!AE87</f>
        <v>0</v>
      </c>
      <c r="K100"/>
      <c r="L100" s="52">
        <f>Main!AI87</f>
        <v>0</v>
      </c>
      <c r="M100" s="53">
        <f>Main!AJ87</f>
        <v>0</v>
      </c>
      <c r="N100"/>
      <c r="O100" s="54">
        <f>Main!AN87</f>
        <v>0</v>
      </c>
      <c r="P100" s="109">
        <f>Main!AO87</f>
        <v>0</v>
      </c>
      <c r="Q100"/>
      <c r="R100" s="27">
        <f>Main!AX87</f>
        <v>0</v>
      </c>
      <c r="S100" s="57">
        <f>Main!AY87</f>
        <v>0</v>
      </c>
      <c r="T100" s="57">
        <f>Main!AZ87</f>
        <v>0</v>
      </c>
      <c r="U100" s="61">
        <f>Main!BA87</f>
        <v>0</v>
      </c>
      <c r="V100" s="61">
        <f>Main!BB87</f>
        <v>0</v>
      </c>
      <c r="W100" s="13">
        <f>Main!BC87</f>
        <v>0</v>
      </c>
      <c r="X100" s="28">
        <f>Main!BD87</f>
        <v>0</v>
      </c>
      <c r="Y100" s="28">
        <f>Main!BE87</f>
        <v>0</v>
      </c>
      <c r="Z100" s="107" t="str">
        <f>Main!BF87</f>
        <v/>
      </c>
      <c r="AA100"/>
    </row>
    <row r="101" spans="2:27" hidden="1" x14ac:dyDescent="0.25">
      <c r="B101"/>
      <c r="C101" s="24">
        <f t="shared" si="1"/>
        <v>81</v>
      </c>
      <c r="D101" s="51" t="str">
        <f>Main!D88</f>
        <v>CAD</v>
      </c>
      <c r="E101" s="83">
        <f>Main!E88</f>
        <v>0</v>
      </c>
      <c r="F101"/>
      <c r="G101" s="52">
        <f>Main!W88</f>
        <v>0</v>
      </c>
      <c r="H101" s="6">
        <f>Main!X88</f>
        <v>0</v>
      </c>
      <c r="I101" s="6">
        <f>Main!Y88</f>
        <v>0</v>
      </c>
      <c r="J101" s="53">
        <f>Main!AE88</f>
        <v>0</v>
      </c>
      <c r="K101"/>
      <c r="L101" s="52">
        <f>Main!AI88</f>
        <v>0</v>
      </c>
      <c r="M101" s="53">
        <f>Main!AJ88</f>
        <v>0</v>
      </c>
      <c r="N101"/>
      <c r="O101" s="54">
        <f>Main!AN88</f>
        <v>0</v>
      </c>
      <c r="P101" s="109">
        <f>Main!AO88</f>
        <v>0</v>
      </c>
      <c r="Q101"/>
      <c r="R101" s="27">
        <f>Main!AX88</f>
        <v>0</v>
      </c>
      <c r="S101" s="57">
        <f>Main!AY88</f>
        <v>0</v>
      </c>
      <c r="T101" s="57">
        <f>Main!AZ88</f>
        <v>0</v>
      </c>
      <c r="U101" s="61">
        <f>Main!BA88</f>
        <v>0</v>
      </c>
      <c r="V101" s="61">
        <f>Main!BB88</f>
        <v>0</v>
      </c>
      <c r="W101" s="13">
        <f>Main!BC88</f>
        <v>0</v>
      </c>
      <c r="X101" s="28">
        <f>Main!BD88</f>
        <v>0</v>
      </c>
      <c r="Y101" s="28">
        <f>Main!BE88</f>
        <v>0</v>
      </c>
      <c r="Z101" s="107" t="str">
        <f>Main!BF88</f>
        <v/>
      </c>
      <c r="AA101"/>
    </row>
    <row r="102" spans="2:27" hidden="1" x14ac:dyDescent="0.25">
      <c r="B102"/>
      <c r="C102" s="24">
        <f t="shared" si="1"/>
        <v>82</v>
      </c>
      <c r="D102" s="51" t="str">
        <f>Main!D89</f>
        <v>CAD</v>
      </c>
      <c r="E102" s="83">
        <f>Main!E89</f>
        <v>0</v>
      </c>
      <c r="F102"/>
      <c r="G102" s="52">
        <f>Main!W89</f>
        <v>0</v>
      </c>
      <c r="H102" s="6">
        <f>Main!X89</f>
        <v>0</v>
      </c>
      <c r="I102" s="6">
        <f>Main!Y89</f>
        <v>0</v>
      </c>
      <c r="J102" s="53">
        <f>Main!AE89</f>
        <v>0</v>
      </c>
      <c r="K102"/>
      <c r="L102" s="52">
        <f>Main!AI89</f>
        <v>0</v>
      </c>
      <c r="M102" s="53">
        <f>Main!AJ89</f>
        <v>0</v>
      </c>
      <c r="N102"/>
      <c r="O102" s="54">
        <f>Main!AN89</f>
        <v>0</v>
      </c>
      <c r="P102" s="109">
        <f>Main!AO89</f>
        <v>0</v>
      </c>
      <c r="Q102"/>
      <c r="R102" s="27">
        <f>Main!AX89</f>
        <v>0</v>
      </c>
      <c r="S102" s="57">
        <f>Main!AY89</f>
        <v>0</v>
      </c>
      <c r="T102" s="57">
        <f>Main!AZ89</f>
        <v>0</v>
      </c>
      <c r="U102" s="61">
        <f>Main!BA89</f>
        <v>0</v>
      </c>
      <c r="V102" s="61">
        <f>Main!BB89</f>
        <v>0</v>
      </c>
      <c r="W102" s="13">
        <f>Main!BC89</f>
        <v>0</v>
      </c>
      <c r="X102" s="28">
        <f>Main!BD89</f>
        <v>0</v>
      </c>
      <c r="Y102" s="28">
        <f>Main!BE89</f>
        <v>0</v>
      </c>
      <c r="Z102" s="107" t="str">
        <f>Main!BF89</f>
        <v/>
      </c>
      <c r="AA102"/>
    </row>
    <row r="103" spans="2:27" hidden="1" x14ac:dyDescent="0.25">
      <c r="B103"/>
      <c r="C103" s="24">
        <f t="shared" si="1"/>
        <v>83</v>
      </c>
      <c r="D103" s="51" t="str">
        <f>Main!D90</f>
        <v>CAD</v>
      </c>
      <c r="E103" s="83">
        <f>Main!E90</f>
        <v>0</v>
      </c>
      <c r="F103"/>
      <c r="G103" s="52">
        <f>Main!W90</f>
        <v>0</v>
      </c>
      <c r="H103" s="6">
        <f>Main!X90</f>
        <v>0</v>
      </c>
      <c r="I103" s="6">
        <f>Main!Y90</f>
        <v>0</v>
      </c>
      <c r="J103" s="53">
        <f>Main!AE90</f>
        <v>0</v>
      </c>
      <c r="K103"/>
      <c r="L103" s="52">
        <f>Main!AI90</f>
        <v>0</v>
      </c>
      <c r="M103" s="53">
        <f>Main!AJ90</f>
        <v>0</v>
      </c>
      <c r="N103"/>
      <c r="O103" s="54">
        <f>Main!AN90</f>
        <v>0</v>
      </c>
      <c r="P103" s="109">
        <f>Main!AO90</f>
        <v>0</v>
      </c>
      <c r="Q103"/>
      <c r="R103" s="27">
        <f>Main!AX90</f>
        <v>0</v>
      </c>
      <c r="S103" s="57">
        <f>Main!AY90</f>
        <v>0</v>
      </c>
      <c r="T103" s="57">
        <f>Main!AZ90</f>
        <v>0</v>
      </c>
      <c r="U103" s="61">
        <f>Main!BA90</f>
        <v>0</v>
      </c>
      <c r="V103" s="61">
        <f>Main!BB90</f>
        <v>0</v>
      </c>
      <c r="W103" s="13">
        <f>Main!BC90</f>
        <v>0</v>
      </c>
      <c r="X103" s="28">
        <f>Main!BD90</f>
        <v>0</v>
      </c>
      <c r="Y103" s="28">
        <f>Main!BE90</f>
        <v>0</v>
      </c>
      <c r="Z103" s="107" t="str">
        <f>Main!BF90</f>
        <v/>
      </c>
      <c r="AA103"/>
    </row>
    <row r="104" spans="2:27" hidden="1" x14ac:dyDescent="0.25">
      <c r="B104"/>
      <c r="C104" s="24">
        <f t="shared" si="1"/>
        <v>84</v>
      </c>
      <c r="D104" s="51" t="str">
        <f>Main!D91</f>
        <v>CAD</v>
      </c>
      <c r="E104" s="83">
        <f>Main!E91</f>
        <v>0</v>
      </c>
      <c r="F104"/>
      <c r="G104" s="52">
        <f>Main!W91</f>
        <v>0</v>
      </c>
      <c r="H104" s="6">
        <f>Main!X91</f>
        <v>0</v>
      </c>
      <c r="I104" s="6">
        <f>Main!Y91</f>
        <v>0</v>
      </c>
      <c r="J104" s="53">
        <f>Main!AE91</f>
        <v>0</v>
      </c>
      <c r="K104"/>
      <c r="L104" s="52">
        <f>Main!AI91</f>
        <v>0</v>
      </c>
      <c r="M104" s="53">
        <f>Main!AJ91</f>
        <v>0</v>
      </c>
      <c r="N104"/>
      <c r="O104" s="54">
        <f>Main!AN91</f>
        <v>0</v>
      </c>
      <c r="P104" s="109">
        <f>Main!AO91</f>
        <v>0</v>
      </c>
      <c r="Q104"/>
      <c r="R104" s="27">
        <f>Main!AX91</f>
        <v>0</v>
      </c>
      <c r="S104" s="57">
        <f>Main!AY91</f>
        <v>0</v>
      </c>
      <c r="T104" s="57">
        <f>Main!AZ91</f>
        <v>0</v>
      </c>
      <c r="U104" s="61">
        <f>Main!BA91</f>
        <v>0</v>
      </c>
      <c r="V104" s="61">
        <f>Main!BB91</f>
        <v>0</v>
      </c>
      <c r="W104" s="13">
        <f>Main!BC91</f>
        <v>0</v>
      </c>
      <c r="X104" s="28">
        <f>Main!BD91</f>
        <v>0</v>
      </c>
      <c r="Y104" s="28">
        <f>Main!BE91</f>
        <v>0</v>
      </c>
      <c r="Z104" s="107" t="str">
        <f>Main!BF91</f>
        <v/>
      </c>
      <c r="AA104"/>
    </row>
    <row r="105" spans="2:27" hidden="1" x14ac:dyDescent="0.25">
      <c r="B105"/>
      <c r="C105" s="24">
        <f t="shared" si="1"/>
        <v>85</v>
      </c>
      <c r="D105" s="51" t="str">
        <f>Main!D92</f>
        <v>CAD</v>
      </c>
      <c r="E105" s="83">
        <f>Main!E92</f>
        <v>0</v>
      </c>
      <c r="F105"/>
      <c r="G105" s="52">
        <f>Main!W92</f>
        <v>0</v>
      </c>
      <c r="H105" s="6">
        <f>Main!X92</f>
        <v>0</v>
      </c>
      <c r="I105" s="6">
        <f>Main!Y92</f>
        <v>0</v>
      </c>
      <c r="J105" s="53">
        <f>Main!AE92</f>
        <v>0</v>
      </c>
      <c r="K105"/>
      <c r="L105" s="52">
        <f>Main!AI92</f>
        <v>0</v>
      </c>
      <c r="M105" s="53">
        <f>Main!AJ92</f>
        <v>0</v>
      </c>
      <c r="N105"/>
      <c r="O105" s="54">
        <f>Main!AN92</f>
        <v>0</v>
      </c>
      <c r="P105" s="109">
        <f>Main!AO92</f>
        <v>0</v>
      </c>
      <c r="Q105"/>
      <c r="R105" s="27">
        <f>Main!AX92</f>
        <v>0</v>
      </c>
      <c r="S105" s="57">
        <f>Main!AY92</f>
        <v>0</v>
      </c>
      <c r="T105" s="57">
        <f>Main!AZ92</f>
        <v>0</v>
      </c>
      <c r="U105" s="61">
        <f>Main!BA92</f>
        <v>0</v>
      </c>
      <c r="V105" s="61">
        <f>Main!BB92</f>
        <v>0</v>
      </c>
      <c r="W105" s="13">
        <f>Main!BC92</f>
        <v>0</v>
      </c>
      <c r="X105" s="28">
        <f>Main!BD92</f>
        <v>0</v>
      </c>
      <c r="Y105" s="28">
        <f>Main!BE92</f>
        <v>0</v>
      </c>
      <c r="Z105" s="107" t="str">
        <f>Main!BF92</f>
        <v/>
      </c>
      <c r="AA105"/>
    </row>
    <row r="106" spans="2:27" hidden="1" x14ac:dyDescent="0.25">
      <c r="B106"/>
      <c r="C106" s="24">
        <f t="shared" si="1"/>
        <v>86</v>
      </c>
      <c r="D106" s="51" t="str">
        <f>Main!D93</f>
        <v>CAD</v>
      </c>
      <c r="E106" s="83">
        <f>Main!E93</f>
        <v>0</v>
      </c>
      <c r="F106"/>
      <c r="G106" s="52">
        <f>Main!W93</f>
        <v>0</v>
      </c>
      <c r="H106" s="6">
        <f>Main!X93</f>
        <v>0</v>
      </c>
      <c r="I106" s="6">
        <f>Main!Y93</f>
        <v>0</v>
      </c>
      <c r="J106" s="53">
        <f>Main!AE93</f>
        <v>0</v>
      </c>
      <c r="K106"/>
      <c r="L106" s="52">
        <f>Main!AI93</f>
        <v>0</v>
      </c>
      <c r="M106" s="53">
        <f>Main!AJ93</f>
        <v>0</v>
      </c>
      <c r="N106"/>
      <c r="O106" s="54">
        <f>Main!AN93</f>
        <v>0</v>
      </c>
      <c r="P106" s="109">
        <f>Main!AO93</f>
        <v>0</v>
      </c>
      <c r="Q106"/>
      <c r="R106" s="27">
        <f>Main!AX93</f>
        <v>0</v>
      </c>
      <c r="S106" s="57">
        <f>Main!AY93</f>
        <v>0</v>
      </c>
      <c r="T106" s="57">
        <f>Main!AZ93</f>
        <v>0</v>
      </c>
      <c r="U106" s="61">
        <f>Main!BA93</f>
        <v>0</v>
      </c>
      <c r="V106" s="61">
        <f>Main!BB93</f>
        <v>0</v>
      </c>
      <c r="W106" s="13">
        <f>Main!BC93</f>
        <v>0</v>
      </c>
      <c r="X106" s="28">
        <f>Main!BD93</f>
        <v>0</v>
      </c>
      <c r="Y106" s="28">
        <f>Main!BE93</f>
        <v>0</v>
      </c>
      <c r="Z106" s="107" t="str">
        <f>Main!BF93</f>
        <v/>
      </c>
      <c r="AA106"/>
    </row>
    <row r="107" spans="2:27" hidden="1" x14ac:dyDescent="0.25">
      <c r="B107"/>
      <c r="C107" s="24">
        <f t="shared" si="1"/>
        <v>87</v>
      </c>
      <c r="D107" s="51" t="str">
        <f>Main!D94</f>
        <v>CAD</v>
      </c>
      <c r="E107" s="83">
        <f>Main!E94</f>
        <v>0</v>
      </c>
      <c r="F107"/>
      <c r="G107" s="52">
        <f>Main!W94</f>
        <v>0</v>
      </c>
      <c r="H107" s="6">
        <f>Main!X94</f>
        <v>0</v>
      </c>
      <c r="I107" s="6">
        <f>Main!Y94</f>
        <v>0</v>
      </c>
      <c r="J107" s="53">
        <f>Main!AE94</f>
        <v>0</v>
      </c>
      <c r="K107"/>
      <c r="L107" s="52">
        <f>Main!AI94</f>
        <v>0</v>
      </c>
      <c r="M107" s="53">
        <f>Main!AJ94</f>
        <v>0</v>
      </c>
      <c r="N107"/>
      <c r="O107" s="54">
        <f>Main!AN94</f>
        <v>0</v>
      </c>
      <c r="P107" s="109">
        <f>Main!AO94</f>
        <v>0</v>
      </c>
      <c r="Q107"/>
      <c r="R107" s="27">
        <f>Main!AX94</f>
        <v>0</v>
      </c>
      <c r="S107" s="57">
        <f>Main!AY94</f>
        <v>0</v>
      </c>
      <c r="T107" s="57">
        <f>Main!AZ94</f>
        <v>0</v>
      </c>
      <c r="U107" s="61">
        <f>Main!BA94</f>
        <v>0</v>
      </c>
      <c r="V107" s="61">
        <f>Main!BB94</f>
        <v>0</v>
      </c>
      <c r="W107" s="13">
        <f>Main!BC94</f>
        <v>0</v>
      </c>
      <c r="X107" s="28">
        <f>Main!BD94</f>
        <v>0</v>
      </c>
      <c r="Y107" s="28">
        <f>Main!BE94</f>
        <v>0</v>
      </c>
      <c r="Z107" s="107" t="str">
        <f>Main!BF94</f>
        <v/>
      </c>
      <c r="AA107"/>
    </row>
    <row r="108" spans="2:27" hidden="1" x14ac:dyDescent="0.25">
      <c r="B108"/>
      <c r="C108" s="24">
        <f t="shared" si="1"/>
        <v>88</v>
      </c>
      <c r="D108" s="51" t="str">
        <f>Main!D95</f>
        <v>CAD</v>
      </c>
      <c r="E108" s="83">
        <f>Main!E95</f>
        <v>0</v>
      </c>
      <c r="F108"/>
      <c r="G108" s="52">
        <f>Main!W95</f>
        <v>0</v>
      </c>
      <c r="H108" s="6">
        <f>Main!X95</f>
        <v>0</v>
      </c>
      <c r="I108" s="6">
        <f>Main!Y95</f>
        <v>0</v>
      </c>
      <c r="J108" s="53">
        <f>Main!AE95</f>
        <v>0</v>
      </c>
      <c r="K108"/>
      <c r="L108" s="52">
        <f>Main!AI95</f>
        <v>0</v>
      </c>
      <c r="M108" s="53">
        <f>Main!AJ95</f>
        <v>0</v>
      </c>
      <c r="N108"/>
      <c r="O108" s="54">
        <f>Main!AN95</f>
        <v>0</v>
      </c>
      <c r="P108" s="109">
        <f>Main!AO95</f>
        <v>0</v>
      </c>
      <c r="Q108"/>
      <c r="R108" s="27">
        <f>Main!AX95</f>
        <v>0</v>
      </c>
      <c r="S108" s="57">
        <f>Main!AY95</f>
        <v>0</v>
      </c>
      <c r="T108" s="57">
        <f>Main!AZ95</f>
        <v>0</v>
      </c>
      <c r="U108" s="61">
        <f>Main!BA95</f>
        <v>0</v>
      </c>
      <c r="V108" s="61">
        <f>Main!BB95</f>
        <v>0</v>
      </c>
      <c r="W108" s="13">
        <f>Main!BC95</f>
        <v>0</v>
      </c>
      <c r="X108" s="28">
        <f>Main!BD95</f>
        <v>0</v>
      </c>
      <c r="Y108" s="28">
        <f>Main!BE95</f>
        <v>0</v>
      </c>
      <c r="Z108" s="107" t="str">
        <f>Main!BF95</f>
        <v/>
      </c>
      <c r="AA108"/>
    </row>
    <row r="109" spans="2:27" hidden="1" x14ac:dyDescent="0.25">
      <c r="B109"/>
      <c r="C109" s="24">
        <f t="shared" si="1"/>
        <v>89</v>
      </c>
      <c r="D109" s="51" t="str">
        <f>Main!D96</f>
        <v>CAD</v>
      </c>
      <c r="E109" s="83">
        <f>Main!E96</f>
        <v>0</v>
      </c>
      <c r="F109"/>
      <c r="G109" s="52">
        <f>Main!W96</f>
        <v>0</v>
      </c>
      <c r="H109" s="6">
        <f>Main!X96</f>
        <v>0</v>
      </c>
      <c r="I109" s="6">
        <f>Main!Y96</f>
        <v>0</v>
      </c>
      <c r="J109" s="53">
        <f>Main!AE96</f>
        <v>0</v>
      </c>
      <c r="K109"/>
      <c r="L109" s="52">
        <f>Main!AI96</f>
        <v>0</v>
      </c>
      <c r="M109" s="53">
        <f>Main!AJ96</f>
        <v>0</v>
      </c>
      <c r="N109"/>
      <c r="O109" s="54">
        <f>Main!AN96</f>
        <v>0</v>
      </c>
      <c r="P109" s="109">
        <f>Main!AO96</f>
        <v>0</v>
      </c>
      <c r="Q109"/>
      <c r="R109" s="27">
        <f>Main!AX96</f>
        <v>0</v>
      </c>
      <c r="S109" s="57">
        <f>Main!AY96</f>
        <v>0</v>
      </c>
      <c r="T109" s="57">
        <f>Main!AZ96</f>
        <v>0</v>
      </c>
      <c r="U109" s="61">
        <f>Main!BA96</f>
        <v>0</v>
      </c>
      <c r="V109" s="61">
        <f>Main!BB96</f>
        <v>0</v>
      </c>
      <c r="W109" s="13">
        <f>Main!BC96</f>
        <v>0</v>
      </c>
      <c r="X109" s="28">
        <f>Main!BD96</f>
        <v>0</v>
      </c>
      <c r="Y109" s="28">
        <f>Main!BE96</f>
        <v>0</v>
      </c>
      <c r="Z109" s="107" t="str">
        <f>Main!BF96</f>
        <v/>
      </c>
      <c r="AA109"/>
    </row>
    <row r="110" spans="2:27" hidden="1" x14ac:dyDescent="0.25">
      <c r="B110"/>
      <c r="C110" s="24">
        <f t="shared" si="1"/>
        <v>90</v>
      </c>
      <c r="D110" s="51" t="str">
        <f>Main!D97</f>
        <v>CAD</v>
      </c>
      <c r="E110" s="83">
        <f>Main!E97</f>
        <v>0</v>
      </c>
      <c r="F110"/>
      <c r="G110" s="52">
        <f>Main!W97</f>
        <v>0</v>
      </c>
      <c r="H110" s="6">
        <f>Main!X97</f>
        <v>0</v>
      </c>
      <c r="I110" s="6">
        <f>Main!Y97</f>
        <v>0</v>
      </c>
      <c r="J110" s="53">
        <f>Main!AE97</f>
        <v>0</v>
      </c>
      <c r="K110"/>
      <c r="L110" s="52">
        <f>Main!AI97</f>
        <v>0</v>
      </c>
      <c r="M110" s="53">
        <f>Main!AJ97</f>
        <v>0</v>
      </c>
      <c r="N110"/>
      <c r="O110" s="54">
        <f>Main!AN97</f>
        <v>0</v>
      </c>
      <c r="P110" s="109">
        <f>Main!AO97</f>
        <v>0</v>
      </c>
      <c r="Q110"/>
      <c r="R110" s="27">
        <f>Main!AX97</f>
        <v>0</v>
      </c>
      <c r="S110" s="57">
        <f>Main!AY97</f>
        <v>0</v>
      </c>
      <c r="T110" s="57">
        <f>Main!AZ97</f>
        <v>0</v>
      </c>
      <c r="U110" s="61">
        <f>Main!BA97</f>
        <v>0</v>
      </c>
      <c r="V110" s="61">
        <f>Main!BB97</f>
        <v>0</v>
      </c>
      <c r="W110" s="13">
        <f>Main!BC97</f>
        <v>0</v>
      </c>
      <c r="X110" s="28">
        <f>Main!BD97</f>
        <v>0</v>
      </c>
      <c r="Y110" s="28">
        <f>Main!BE97</f>
        <v>0</v>
      </c>
      <c r="Z110" s="107" t="str">
        <f>Main!BF97</f>
        <v/>
      </c>
      <c r="AA110"/>
    </row>
    <row r="111" spans="2:27" hidden="1" x14ac:dyDescent="0.25">
      <c r="B111"/>
      <c r="C111" s="24">
        <f t="shared" si="1"/>
        <v>91</v>
      </c>
      <c r="D111" s="51" t="str">
        <f>Main!D98</f>
        <v>CAD</v>
      </c>
      <c r="E111" s="83">
        <f>Main!E98</f>
        <v>0</v>
      </c>
      <c r="F111"/>
      <c r="G111" s="52">
        <f>Main!W98</f>
        <v>0</v>
      </c>
      <c r="H111" s="6">
        <f>Main!X98</f>
        <v>0</v>
      </c>
      <c r="I111" s="6">
        <f>Main!Y98</f>
        <v>0</v>
      </c>
      <c r="J111" s="53">
        <f>Main!AE98</f>
        <v>0</v>
      </c>
      <c r="K111"/>
      <c r="L111" s="52">
        <f>Main!AI98</f>
        <v>0</v>
      </c>
      <c r="M111" s="53">
        <f>Main!AJ98</f>
        <v>0</v>
      </c>
      <c r="N111"/>
      <c r="O111" s="54">
        <f>Main!AN98</f>
        <v>0</v>
      </c>
      <c r="P111" s="109">
        <f>Main!AO98</f>
        <v>0</v>
      </c>
      <c r="Q111"/>
      <c r="R111" s="27">
        <f>Main!AX98</f>
        <v>0</v>
      </c>
      <c r="S111" s="57">
        <f>Main!AY98</f>
        <v>0</v>
      </c>
      <c r="T111" s="57">
        <f>Main!AZ98</f>
        <v>0</v>
      </c>
      <c r="U111" s="61">
        <f>Main!BA98</f>
        <v>0</v>
      </c>
      <c r="V111" s="61">
        <f>Main!BB98</f>
        <v>0</v>
      </c>
      <c r="W111" s="13">
        <f>Main!BC98</f>
        <v>0</v>
      </c>
      <c r="X111" s="28">
        <f>Main!BD98</f>
        <v>0</v>
      </c>
      <c r="Y111" s="28">
        <f>Main!BE98</f>
        <v>0</v>
      </c>
      <c r="Z111" s="107" t="str">
        <f>Main!BF98</f>
        <v/>
      </c>
      <c r="AA111"/>
    </row>
    <row r="112" spans="2:27" hidden="1" x14ac:dyDescent="0.25">
      <c r="B112"/>
      <c r="C112" s="24">
        <f t="shared" si="1"/>
        <v>92</v>
      </c>
      <c r="D112" s="51" t="str">
        <f>Main!D99</f>
        <v>CAD</v>
      </c>
      <c r="E112" s="83">
        <f>Main!E99</f>
        <v>0</v>
      </c>
      <c r="F112"/>
      <c r="G112" s="52">
        <f>Main!W99</f>
        <v>0</v>
      </c>
      <c r="H112" s="6">
        <f>Main!X99</f>
        <v>0</v>
      </c>
      <c r="I112" s="6">
        <f>Main!Y99</f>
        <v>0</v>
      </c>
      <c r="J112" s="53">
        <f>Main!AE99</f>
        <v>0</v>
      </c>
      <c r="K112"/>
      <c r="L112" s="52">
        <f>Main!AI99</f>
        <v>0</v>
      </c>
      <c r="M112" s="53">
        <f>Main!AJ99</f>
        <v>0</v>
      </c>
      <c r="N112"/>
      <c r="O112" s="54">
        <f>Main!AN99</f>
        <v>0</v>
      </c>
      <c r="P112" s="109">
        <f>Main!AO99</f>
        <v>0</v>
      </c>
      <c r="Q112"/>
      <c r="R112" s="27">
        <f>Main!AX99</f>
        <v>0</v>
      </c>
      <c r="S112" s="57">
        <f>Main!AY99</f>
        <v>0</v>
      </c>
      <c r="T112" s="57">
        <f>Main!AZ99</f>
        <v>0</v>
      </c>
      <c r="U112" s="61">
        <f>Main!BA99</f>
        <v>0</v>
      </c>
      <c r="V112" s="61">
        <f>Main!BB99</f>
        <v>0</v>
      </c>
      <c r="W112" s="13">
        <f>Main!BC99</f>
        <v>0</v>
      </c>
      <c r="X112" s="28">
        <f>Main!BD99</f>
        <v>0</v>
      </c>
      <c r="Y112" s="28">
        <f>Main!BE99</f>
        <v>0</v>
      </c>
      <c r="Z112" s="107" t="str">
        <f>Main!BF99</f>
        <v/>
      </c>
      <c r="AA112"/>
    </row>
    <row r="113" spans="2:27" hidden="1" x14ac:dyDescent="0.25">
      <c r="B113"/>
      <c r="C113" s="24">
        <f t="shared" si="1"/>
        <v>93</v>
      </c>
      <c r="D113" s="51" t="str">
        <f>Main!D100</f>
        <v>CAD</v>
      </c>
      <c r="E113" s="83">
        <f>Main!E100</f>
        <v>0</v>
      </c>
      <c r="F113"/>
      <c r="G113" s="52">
        <f>Main!W100</f>
        <v>0</v>
      </c>
      <c r="H113" s="6">
        <f>Main!X100</f>
        <v>0</v>
      </c>
      <c r="I113" s="6">
        <f>Main!Y100</f>
        <v>0</v>
      </c>
      <c r="J113" s="53">
        <f>Main!AE100</f>
        <v>0</v>
      </c>
      <c r="K113"/>
      <c r="L113" s="52">
        <f>Main!AI100</f>
        <v>0</v>
      </c>
      <c r="M113" s="53">
        <f>Main!AJ100</f>
        <v>0</v>
      </c>
      <c r="N113"/>
      <c r="O113" s="54">
        <f>Main!AN100</f>
        <v>0</v>
      </c>
      <c r="P113" s="109">
        <f>Main!AO100</f>
        <v>0</v>
      </c>
      <c r="Q113"/>
      <c r="R113" s="27">
        <f>Main!AX100</f>
        <v>0</v>
      </c>
      <c r="S113" s="57">
        <f>Main!AY100</f>
        <v>0</v>
      </c>
      <c r="T113" s="57">
        <f>Main!AZ100</f>
        <v>0</v>
      </c>
      <c r="U113" s="61">
        <f>Main!BA100</f>
        <v>0</v>
      </c>
      <c r="V113" s="61">
        <f>Main!BB100</f>
        <v>0</v>
      </c>
      <c r="W113" s="13">
        <f>Main!BC100</f>
        <v>0</v>
      </c>
      <c r="X113" s="28">
        <f>Main!BD100</f>
        <v>0</v>
      </c>
      <c r="Y113" s="28">
        <f>Main!BE100</f>
        <v>0</v>
      </c>
      <c r="Z113" s="107" t="str">
        <f>Main!BF100</f>
        <v/>
      </c>
      <c r="AA113"/>
    </row>
    <row r="114" spans="2:27" hidden="1" x14ac:dyDescent="0.25">
      <c r="B114"/>
      <c r="C114" s="24">
        <f t="shared" si="1"/>
        <v>94</v>
      </c>
      <c r="D114" s="51" t="str">
        <f>Main!D101</f>
        <v>CAD</v>
      </c>
      <c r="E114" s="83">
        <f>Main!E101</f>
        <v>0</v>
      </c>
      <c r="F114"/>
      <c r="G114" s="52">
        <f>Main!W101</f>
        <v>0</v>
      </c>
      <c r="H114" s="6">
        <f>Main!X101</f>
        <v>0</v>
      </c>
      <c r="I114" s="6">
        <f>Main!Y101</f>
        <v>0</v>
      </c>
      <c r="J114" s="53">
        <f>Main!AE101</f>
        <v>0</v>
      </c>
      <c r="K114"/>
      <c r="L114" s="52">
        <f>Main!AI101</f>
        <v>0</v>
      </c>
      <c r="M114" s="53">
        <f>Main!AJ101</f>
        <v>0</v>
      </c>
      <c r="N114"/>
      <c r="O114" s="54">
        <f>Main!AN101</f>
        <v>0</v>
      </c>
      <c r="P114" s="109">
        <f>Main!AO101</f>
        <v>0</v>
      </c>
      <c r="Q114"/>
      <c r="R114" s="27">
        <f>Main!AX101</f>
        <v>0</v>
      </c>
      <c r="S114" s="57">
        <f>Main!AY101</f>
        <v>0</v>
      </c>
      <c r="T114" s="57">
        <f>Main!AZ101</f>
        <v>0</v>
      </c>
      <c r="U114" s="61">
        <f>Main!BA101</f>
        <v>0</v>
      </c>
      <c r="V114" s="61">
        <f>Main!BB101</f>
        <v>0</v>
      </c>
      <c r="W114" s="13">
        <f>Main!BC101</f>
        <v>0</v>
      </c>
      <c r="X114" s="28">
        <f>Main!BD101</f>
        <v>0</v>
      </c>
      <c r="Y114" s="28">
        <f>Main!BE101</f>
        <v>0</v>
      </c>
      <c r="Z114" s="107" t="str">
        <f>Main!BF101</f>
        <v/>
      </c>
      <c r="AA114"/>
    </row>
    <row r="115" spans="2:27" hidden="1" x14ac:dyDescent="0.25">
      <c r="B115"/>
      <c r="C115" s="24">
        <f t="shared" si="1"/>
        <v>95</v>
      </c>
      <c r="D115" s="51" t="str">
        <f>Main!D102</f>
        <v>CAD</v>
      </c>
      <c r="E115" s="83">
        <f>Main!E102</f>
        <v>0</v>
      </c>
      <c r="F115"/>
      <c r="G115" s="52">
        <f>Main!W102</f>
        <v>0</v>
      </c>
      <c r="H115" s="6">
        <f>Main!X102</f>
        <v>0</v>
      </c>
      <c r="I115" s="6">
        <f>Main!Y102</f>
        <v>0</v>
      </c>
      <c r="J115" s="53">
        <f>Main!AE102</f>
        <v>0</v>
      </c>
      <c r="K115"/>
      <c r="L115" s="52">
        <f>Main!AI102</f>
        <v>0</v>
      </c>
      <c r="M115" s="53">
        <f>Main!AJ102</f>
        <v>0</v>
      </c>
      <c r="N115"/>
      <c r="O115" s="54">
        <f>Main!AN102</f>
        <v>0</v>
      </c>
      <c r="P115" s="109">
        <f>Main!AO102</f>
        <v>0</v>
      </c>
      <c r="Q115"/>
      <c r="R115" s="27">
        <f>Main!AX102</f>
        <v>0</v>
      </c>
      <c r="S115" s="57">
        <f>Main!AY102</f>
        <v>0</v>
      </c>
      <c r="T115" s="57">
        <f>Main!AZ102</f>
        <v>0</v>
      </c>
      <c r="U115" s="61">
        <f>Main!BA102</f>
        <v>0</v>
      </c>
      <c r="V115" s="61">
        <f>Main!BB102</f>
        <v>0</v>
      </c>
      <c r="W115" s="13">
        <f>Main!BC102</f>
        <v>0</v>
      </c>
      <c r="X115" s="28">
        <f>Main!BD102</f>
        <v>0</v>
      </c>
      <c r="Y115" s="28">
        <f>Main!BE102</f>
        <v>0</v>
      </c>
      <c r="Z115" s="107" t="str">
        <f>Main!BF102</f>
        <v/>
      </c>
      <c r="AA115"/>
    </row>
    <row r="116" spans="2:27" hidden="1" x14ac:dyDescent="0.25">
      <c r="B116"/>
      <c r="C116" s="24">
        <f t="shared" si="1"/>
        <v>96</v>
      </c>
      <c r="D116" s="51" t="str">
        <f>Main!D103</f>
        <v>CAD</v>
      </c>
      <c r="E116" s="83">
        <f>Main!E103</f>
        <v>0</v>
      </c>
      <c r="F116"/>
      <c r="G116" s="52">
        <f>Main!W103</f>
        <v>0</v>
      </c>
      <c r="H116" s="6">
        <f>Main!X103</f>
        <v>0</v>
      </c>
      <c r="I116" s="6">
        <f>Main!Y103</f>
        <v>0</v>
      </c>
      <c r="J116" s="53">
        <f>Main!AE103</f>
        <v>0</v>
      </c>
      <c r="K116"/>
      <c r="L116" s="52">
        <f>Main!AI103</f>
        <v>0</v>
      </c>
      <c r="M116" s="53">
        <f>Main!AJ103</f>
        <v>0</v>
      </c>
      <c r="N116"/>
      <c r="O116" s="54">
        <f>Main!AN103</f>
        <v>0</v>
      </c>
      <c r="P116" s="109">
        <f>Main!AO103</f>
        <v>0</v>
      </c>
      <c r="Q116"/>
      <c r="R116" s="27">
        <f>Main!AX103</f>
        <v>0</v>
      </c>
      <c r="S116" s="57">
        <f>Main!AY103</f>
        <v>0</v>
      </c>
      <c r="T116" s="57">
        <f>Main!AZ103</f>
        <v>0</v>
      </c>
      <c r="U116" s="61">
        <f>Main!BA103</f>
        <v>0</v>
      </c>
      <c r="V116" s="61">
        <f>Main!BB103</f>
        <v>0</v>
      </c>
      <c r="W116" s="13">
        <f>Main!BC103</f>
        <v>0</v>
      </c>
      <c r="X116" s="28">
        <f>Main!BD103</f>
        <v>0</v>
      </c>
      <c r="Y116" s="28">
        <f>Main!BE103</f>
        <v>0</v>
      </c>
      <c r="Z116" s="107" t="str">
        <f>Main!BF103</f>
        <v/>
      </c>
      <c r="AA116"/>
    </row>
    <row r="117" spans="2:27" hidden="1" x14ac:dyDescent="0.25">
      <c r="B117"/>
      <c r="C117" s="24">
        <f t="shared" si="1"/>
        <v>97</v>
      </c>
      <c r="D117" s="51" t="str">
        <f>Main!D104</f>
        <v>CAD</v>
      </c>
      <c r="E117" s="83">
        <f>Main!E104</f>
        <v>0</v>
      </c>
      <c r="F117"/>
      <c r="G117" s="52">
        <f>Main!W104</f>
        <v>0</v>
      </c>
      <c r="H117" s="6">
        <f>Main!X104</f>
        <v>0</v>
      </c>
      <c r="I117" s="6">
        <f>Main!Y104</f>
        <v>0</v>
      </c>
      <c r="J117" s="53">
        <f>Main!AE104</f>
        <v>0</v>
      </c>
      <c r="K117"/>
      <c r="L117" s="52">
        <f>Main!AI104</f>
        <v>0</v>
      </c>
      <c r="M117" s="53">
        <f>Main!AJ104</f>
        <v>0</v>
      </c>
      <c r="N117"/>
      <c r="O117" s="54">
        <f>Main!AN104</f>
        <v>0</v>
      </c>
      <c r="P117" s="109">
        <f>Main!AO104</f>
        <v>0</v>
      </c>
      <c r="Q117"/>
      <c r="R117" s="27">
        <f>Main!AX104</f>
        <v>0</v>
      </c>
      <c r="S117" s="57">
        <f>Main!AY104</f>
        <v>0</v>
      </c>
      <c r="T117" s="57">
        <f>Main!AZ104</f>
        <v>0</v>
      </c>
      <c r="U117" s="61">
        <f>Main!BA104</f>
        <v>0</v>
      </c>
      <c r="V117" s="61">
        <f>Main!BB104</f>
        <v>0</v>
      </c>
      <c r="W117" s="13">
        <f>Main!BC104</f>
        <v>0</v>
      </c>
      <c r="X117" s="28">
        <f>Main!BD104</f>
        <v>0</v>
      </c>
      <c r="Y117" s="28">
        <f>Main!BE104</f>
        <v>0</v>
      </c>
      <c r="Z117" s="107" t="str">
        <f>Main!BF104</f>
        <v/>
      </c>
      <c r="AA117"/>
    </row>
    <row r="118" spans="2:27" hidden="1" x14ac:dyDescent="0.25">
      <c r="B118"/>
      <c r="C118" s="24">
        <f t="shared" si="1"/>
        <v>98</v>
      </c>
      <c r="D118" s="51" t="str">
        <f>Main!D105</f>
        <v>CAD</v>
      </c>
      <c r="E118" s="83">
        <f>Main!E105</f>
        <v>0</v>
      </c>
      <c r="F118"/>
      <c r="G118" s="52">
        <f>Main!W105</f>
        <v>0</v>
      </c>
      <c r="H118" s="6">
        <f>Main!X105</f>
        <v>0</v>
      </c>
      <c r="I118" s="6">
        <f>Main!Y105</f>
        <v>0</v>
      </c>
      <c r="J118" s="53">
        <f>Main!AE105</f>
        <v>0</v>
      </c>
      <c r="K118"/>
      <c r="L118" s="52">
        <f>Main!AI105</f>
        <v>0</v>
      </c>
      <c r="M118" s="53">
        <f>Main!AJ105</f>
        <v>0</v>
      </c>
      <c r="N118"/>
      <c r="O118" s="54">
        <f>Main!AN105</f>
        <v>0</v>
      </c>
      <c r="P118" s="109">
        <f>Main!AO105</f>
        <v>0</v>
      </c>
      <c r="Q118"/>
      <c r="R118" s="27">
        <f>Main!AX105</f>
        <v>0</v>
      </c>
      <c r="S118" s="57">
        <f>Main!AY105</f>
        <v>0</v>
      </c>
      <c r="T118" s="57">
        <f>Main!AZ105</f>
        <v>0</v>
      </c>
      <c r="U118" s="61">
        <f>Main!BA105</f>
        <v>0</v>
      </c>
      <c r="V118" s="61">
        <f>Main!BB105</f>
        <v>0</v>
      </c>
      <c r="W118" s="13">
        <f>Main!BC105</f>
        <v>0</v>
      </c>
      <c r="X118" s="28">
        <f>Main!BD105</f>
        <v>0</v>
      </c>
      <c r="Y118" s="28">
        <f>Main!BE105</f>
        <v>0</v>
      </c>
      <c r="Z118" s="107" t="str">
        <f>Main!BF105</f>
        <v/>
      </c>
      <c r="AA118"/>
    </row>
    <row r="119" spans="2:27" hidden="1" x14ac:dyDescent="0.25">
      <c r="B119"/>
      <c r="C119" s="24">
        <f t="shared" si="1"/>
        <v>99</v>
      </c>
      <c r="D119" s="51" t="str">
        <f>Main!D106</f>
        <v>CAD</v>
      </c>
      <c r="E119" s="83">
        <f>Main!E106</f>
        <v>0</v>
      </c>
      <c r="F119"/>
      <c r="G119" s="52">
        <f>Main!W106</f>
        <v>0</v>
      </c>
      <c r="H119" s="6">
        <f>Main!X106</f>
        <v>0</v>
      </c>
      <c r="I119" s="6">
        <f>Main!Y106</f>
        <v>0</v>
      </c>
      <c r="J119" s="53">
        <f>Main!AE106</f>
        <v>0</v>
      </c>
      <c r="K119"/>
      <c r="L119" s="52">
        <f>Main!AI106</f>
        <v>0</v>
      </c>
      <c r="M119" s="53">
        <f>Main!AJ106</f>
        <v>0</v>
      </c>
      <c r="N119"/>
      <c r="O119" s="54">
        <f>Main!AN106</f>
        <v>0</v>
      </c>
      <c r="P119" s="109">
        <f>Main!AO106</f>
        <v>0</v>
      </c>
      <c r="Q119"/>
      <c r="R119" s="27">
        <f>Main!AX106</f>
        <v>0</v>
      </c>
      <c r="S119" s="57">
        <f>Main!AY106</f>
        <v>0</v>
      </c>
      <c r="T119" s="57">
        <f>Main!AZ106</f>
        <v>0</v>
      </c>
      <c r="U119" s="61">
        <f>Main!BA106</f>
        <v>0</v>
      </c>
      <c r="V119" s="61">
        <f>Main!BB106</f>
        <v>0</v>
      </c>
      <c r="W119" s="13">
        <f>Main!BC106</f>
        <v>0</v>
      </c>
      <c r="X119" s="28">
        <f>Main!BD106</f>
        <v>0</v>
      </c>
      <c r="Y119" s="28">
        <f>Main!BE106</f>
        <v>0</v>
      </c>
      <c r="Z119" s="107" t="str">
        <f>Main!BF106</f>
        <v/>
      </c>
      <c r="AA119"/>
    </row>
    <row r="120" spans="2:27" hidden="1" x14ac:dyDescent="0.25">
      <c r="B120"/>
      <c r="C120" s="24">
        <f t="shared" si="1"/>
        <v>100</v>
      </c>
      <c r="D120" s="51" t="str">
        <f>Main!D107</f>
        <v>CAD</v>
      </c>
      <c r="E120" s="83">
        <f>Main!E107</f>
        <v>0</v>
      </c>
      <c r="F120"/>
      <c r="G120" s="52">
        <f>Main!W107</f>
        <v>0</v>
      </c>
      <c r="H120" s="6">
        <f>Main!X107</f>
        <v>0</v>
      </c>
      <c r="I120" s="6">
        <f>Main!Y107</f>
        <v>0</v>
      </c>
      <c r="J120" s="53">
        <f>Main!AE107</f>
        <v>0</v>
      </c>
      <c r="K120"/>
      <c r="L120" s="52">
        <f>Main!AI107</f>
        <v>0</v>
      </c>
      <c r="M120" s="53">
        <f>Main!AJ107</f>
        <v>0</v>
      </c>
      <c r="N120"/>
      <c r="O120" s="54">
        <f>Main!AN107</f>
        <v>0</v>
      </c>
      <c r="P120" s="109">
        <f>Main!AO107</f>
        <v>0</v>
      </c>
      <c r="Q120"/>
      <c r="R120" s="27">
        <f>Main!AX107</f>
        <v>0</v>
      </c>
      <c r="S120" s="57">
        <f>Main!AY107</f>
        <v>0</v>
      </c>
      <c r="T120" s="57">
        <f>Main!AZ107</f>
        <v>0</v>
      </c>
      <c r="U120" s="61">
        <f>Main!BA107</f>
        <v>0</v>
      </c>
      <c r="V120" s="61">
        <f>Main!BB107</f>
        <v>0</v>
      </c>
      <c r="W120" s="13">
        <f>Main!BC107</f>
        <v>0</v>
      </c>
      <c r="X120" s="28">
        <f>Main!BD107</f>
        <v>0</v>
      </c>
      <c r="Y120" s="28">
        <f>Main!BE107</f>
        <v>0</v>
      </c>
      <c r="Z120" s="107" t="str">
        <f>Main!BF107</f>
        <v/>
      </c>
      <c r="AA120"/>
    </row>
    <row r="121" spans="2:27" hidden="1" x14ac:dyDescent="0.25">
      <c r="B121"/>
      <c r="C121" s="24">
        <f t="shared" si="1"/>
        <v>101</v>
      </c>
      <c r="D121" s="51" t="str">
        <f>Main!D108</f>
        <v>CAD</v>
      </c>
      <c r="E121" s="83">
        <f>Main!E108</f>
        <v>0</v>
      </c>
      <c r="F121"/>
      <c r="G121" s="52">
        <f>Main!W108</f>
        <v>0</v>
      </c>
      <c r="H121" s="6">
        <f>Main!X108</f>
        <v>0</v>
      </c>
      <c r="I121" s="6">
        <f>Main!Y108</f>
        <v>0</v>
      </c>
      <c r="J121" s="53">
        <f>Main!AE108</f>
        <v>0</v>
      </c>
      <c r="K121"/>
      <c r="L121" s="52">
        <f>Main!AI108</f>
        <v>0</v>
      </c>
      <c r="M121" s="53">
        <f>Main!AJ108</f>
        <v>0</v>
      </c>
      <c r="N121"/>
      <c r="O121" s="54">
        <f>Main!AN108</f>
        <v>0</v>
      </c>
      <c r="P121" s="109">
        <f>Main!AO108</f>
        <v>0</v>
      </c>
      <c r="Q121"/>
      <c r="R121" s="27">
        <f>Main!AX108</f>
        <v>0</v>
      </c>
      <c r="S121" s="57">
        <f>Main!AY108</f>
        <v>0</v>
      </c>
      <c r="T121" s="57">
        <f>Main!AZ108</f>
        <v>0</v>
      </c>
      <c r="U121" s="61">
        <f>Main!BA108</f>
        <v>0</v>
      </c>
      <c r="V121" s="61">
        <f>Main!BB108</f>
        <v>0</v>
      </c>
      <c r="W121" s="13">
        <f>Main!BC108</f>
        <v>0</v>
      </c>
      <c r="X121" s="28">
        <f>Main!BD108</f>
        <v>0</v>
      </c>
      <c r="Y121" s="28">
        <f>Main!BE108</f>
        <v>0</v>
      </c>
      <c r="Z121" s="107" t="str">
        <f>Main!BF108</f>
        <v/>
      </c>
      <c r="AA121"/>
    </row>
    <row r="122" spans="2:27" hidden="1" x14ac:dyDescent="0.25">
      <c r="B122"/>
      <c r="C122" s="24">
        <f t="shared" si="1"/>
        <v>102</v>
      </c>
      <c r="D122" s="51" t="str">
        <f>Main!D109</f>
        <v>CAD</v>
      </c>
      <c r="E122" s="83">
        <f>Main!E109</f>
        <v>0</v>
      </c>
      <c r="F122"/>
      <c r="G122" s="52">
        <f>Main!W109</f>
        <v>0</v>
      </c>
      <c r="H122" s="6">
        <f>Main!X109</f>
        <v>0</v>
      </c>
      <c r="I122" s="6">
        <f>Main!Y109</f>
        <v>0</v>
      </c>
      <c r="J122" s="53">
        <f>Main!AE109</f>
        <v>0</v>
      </c>
      <c r="K122"/>
      <c r="L122" s="52">
        <f>Main!AI109</f>
        <v>0</v>
      </c>
      <c r="M122" s="53">
        <f>Main!AJ109</f>
        <v>0</v>
      </c>
      <c r="N122"/>
      <c r="O122" s="54">
        <f>Main!AN109</f>
        <v>0</v>
      </c>
      <c r="P122" s="109">
        <f>Main!AO109</f>
        <v>0</v>
      </c>
      <c r="Q122"/>
      <c r="R122" s="27">
        <f>Main!AX109</f>
        <v>0</v>
      </c>
      <c r="S122" s="57">
        <f>Main!AY109</f>
        <v>0</v>
      </c>
      <c r="T122" s="57">
        <f>Main!AZ109</f>
        <v>0</v>
      </c>
      <c r="U122" s="61">
        <f>Main!BA109</f>
        <v>0</v>
      </c>
      <c r="V122" s="61">
        <f>Main!BB109</f>
        <v>0</v>
      </c>
      <c r="W122" s="13">
        <f>Main!BC109</f>
        <v>0</v>
      </c>
      <c r="X122" s="28">
        <f>Main!BD109</f>
        <v>0</v>
      </c>
      <c r="Y122" s="28">
        <f>Main!BE109</f>
        <v>0</v>
      </c>
      <c r="Z122" s="107" t="str">
        <f>Main!BF109</f>
        <v/>
      </c>
      <c r="AA122"/>
    </row>
    <row r="123" spans="2:27" hidden="1" x14ac:dyDescent="0.25">
      <c r="B123"/>
      <c r="C123" s="24">
        <f t="shared" si="1"/>
        <v>103</v>
      </c>
      <c r="D123" s="51" t="str">
        <f>Main!D110</f>
        <v>CAD</v>
      </c>
      <c r="E123" s="83">
        <f>Main!E110</f>
        <v>0</v>
      </c>
      <c r="F123"/>
      <c r="G123" s="52">
        <f>Main!W110</f>
        <v>0</v>
      </c>
      <c r="H123" s="6">
        <f>Main!X110</f>
        <v>0</v>
      </c>
      <c r="I123" s="6">
        <f>Main!Y110</f>
        <v>0</v>
      </c>
      <c r="J123" s="53">
        <f>Main!AE110</f>
        <v>0</v>
      </c>
      <c r="K123"/>
      <c r="L123" s="52">
        <f>Main!AI110</f>
        <v>0</v>
      </c>
      <c r="M123" s="53">
        <f>Main!AJ110</f>
        <v>0</v>
      </c>
      <c r="N123"/>
      <c r="O123" s="54">
        <f>Main!AN110</f>
        <v>0</v>
      </c>
      <c r="P123" s="109">
        <f>Main!AO110</f>
        <v>0</v>
      </c>
      <c r="Q123"/>
      <c r="R123" s="27">
        <f>Main!AX110</f>
        <v>0</v>
      </c>
      <c r="S123" s="57">
        <f>Main!AY110</f>
        <v>0</v>
      </c>
      <c r="T123" s="57">
        <f>Main!AZ110</f>
        <v>0</v>
      </c>
      <c r="U123" s="61">
        <f>Main!BA110</f>
        <v>0</v>
      </c>
      <c r="V123" s="61">
        <f>Main!BB110</f>
        <v>0</v>
      </c>
      <c r="W123" s="13">
        <f>Main!BC110</f>
        <v>0</v>
      </c>
      <c r="X123" s="28">
        <f>Main!BD110</f>
        <v>0</v>
      </c>
      <c r="Y123" s="28">
        <f>Main!BE110</f>
        <v>0</v>
      </c>
      <c r="Z123" s="107" t="str">
        <f>Main!BF110</f>
        <v/>
      </c>
      <c r="AA123"/>
    </row>
    <row r="124" spans="2:27" hidden="1" x14ac:dyDescent="0.25">
      <c r="B124"/>
      <c r="C124" s="24">
        <f t="shared" si="1"/>
        <v>104</v>
      </c>
      <c r="D124" s="51" t="str">
        <f>Main!D111</f>
        <v>CAD</v>
      </c>
      <c r="E124" s="83">
        <f>Main!E111</f>
        <v>0</v>
      </c>
      <c r="F124"/>
      <c r="G124" s="52">
        <f>Main!W111</f>
        <v>0</v>
      </c>
      <c r="H124" s="6">
        <f>Main!X111</f>
        <v>0</v>
      </c>
      <c r="I124" s="6">
        <f>Main!Y111</f>
        <v>0</v>
      </c>
      <c r="J124" s="53">
        <f>Main!AE111</f>
        <v>0</v>
      </c>
      <c r="K124"/>
      <c r="L124" s="52">
        <f>Main!AI111</f>
        <v>0</v>
      </c>
      <c r="M124" s="53">
        <f>Main!AJ111</f>
        <v>0</v>
      </c>
      <c r="N124"/>
      <c r="O124" s="54">
        <f>Main!AN111</f>
        <v>0</v>
      </c>
      <c r="P124" s="109">
        <f>Main!AO111</f>
        <v>0</v>
      </c>
      <c r="Q124"/>
      <c r="R124" s="27">
        <f>Main!AX111</f>
        <v>0</v>
      </c>
      <c r="S124" s="57">
        <f>Main!AY111</f>
        <v>0</v>
      </c>
      <c r="T124" s="57">
        <f>Main!AZ111</f>
        <v>0</v>
      </c>
      <c r="U124" s="61">
        <f>Main!BA111</f>
        <v>0</v>
      </c>
      <c r="V124" s="61">
        <f>Main!BB111</f>
        <v>0</v>
      </c>
      <c r="W124" s="13">
        <f>Main!BC111</f>
        <v>0</v>
      </c>
      <c r="X124" s="28">
        <f>Main!BD111</f>
        <v>0</v>
      </c>
      <c r="Y124" s="28">
        <f>Main!BE111</f>
        <v>0</v>
      </c>
      <c r="Z124" s="107" t="str">
        <f>Main!BF111</f>
        <v/>
      </c>
      <c r="AA124"/>
    </row>
    <row r="125" spans="2:27" hidden="1" x14ac:dyDescent="0.25">
      <c r="B125"/>
      <c r="C125" s="24">
        <f t="shared" si="1"/>
        <v>105</v>
      </c>
      <c r="D125" s="51" t="str">
        <f>Main!D112</f>
        <v>CAD</v>
      </c>
      <c r="E125" s="83">
        <f>Main!E112</f>
        <v>0</v>
      </c>
      <c r="F125"/>
      <c r="G125" s="52">
        <f>Main!W112</f>
        <v>0</v>
      </c>
      <c r="H125" s="6">
        <f>Main!X112</f>
        <v>0</v>
      </c>
      <c r="I125" s="6">
        <f>Main!Y112</f>
        <v>0</v>
      </c>
      <c r="J125" s="53">
        <f>Main!AE112</f>
        <v>0</v>
      </c>
      <c r="K125"/>
      <c r="L125" s="52">
        <f>Main!AI112</f>
        <v>0</v>
      </c>
      <c r="M125" s="53">
        <f>Main!AJ112</f>
        <v>0</v>
      </c>
      <c r="N125"/>
      <c r="O125" s="54">
        <f>Main!AN112</f>
        <v>0</v>
      </c>
      <c r="P125" s="109">
        <f>Main!AO112</f>
        <v>0</v>
      </c>
      <c r="Q125"/>
      <c r="R125" s="27">
        <f>Main!AX112</f>
        <v>0</v>
      </c>
      <c r="S125" s="57">
        <f>Main!AY112</f>
        <v>0</v>
      </c>
      <c r="T125" s="57">
        <f>Main!AZ112</f>
        <v>0</v>
      </c>
      <c r="U125" s="61">
        <f>Main!BA112</f>
        <v>0</v>
      </c>
      <c r="V125" s="61">
        <f>Main!BB112</f>
        <v>0</v>
      </c>
      <c r="W125" s="13">
        <f>Main!BC112</f>
        <v>0</v>
      </c>
      <c r="X125" s="28">
        <f>Main!BD112</f>
        <v>0</v>
      </c>
      <c r="Y125" s="28">
        <f>Main!BE112</f>
        <v>0</v>
      </c>
      <c r="Z125" s="107" t="str">
        <f>Main!BF112</f>
        <v/>
      </c>
      <c r="AA125"/>
    </row>
    <row r="126" spans="2:27" hidden="1" x14ac:dyDescent="0.25">
      <c r="B126"/>
      <c r="C126" s="24">
        <f t="shared" si="1"/>
        <v>106</v>
      </c>
      <c r="D126" s="51" t="str">
        <f>Main!D113</f>
        <v>CAD</v>
      </c>
      <c r="E126" s="83">
        <f>Main!E113</f>
        <v>0</v>
      </c>
      <c r="F126"/>
      <c r="G126" s="52">
        <f>Main!W113</f>
        <v>0</v>
      </c>
      <c r="H126" s="6">
        <f>Main!X113</f>
        <v>0</v>
      </c>
      <c r="I126" s="6">
        <f>Main!Y113</f>
        <v>0</v>
      </c>
      <c r="J126" s="53">
        <f>Main!AE113</f>
        <v>0</v>
      </c>
      <c r="K126"/>
      <c r="L126" s="52">
        <f>Main!AI113</f>
        <v>0</v>
      </c>
      <c r="M126" s="53">
        <f>Main!AJ113</f>
        <v>0</v>
      </c>
      <c r="N126"/>
      <c r="O126" s="54">
        <f>Main!AN113</f>
        <v>0</v>
      </c>
      <c r="P126" s="109">
        <f>Main!AO113</f>
        <v>0</v>
      </c>
      <c r="Q126"/>
      <c r="R126" s="27">
        <f>Main!AX113</f>
        <v>0</v>
      </c>
      <c r="S126" s="57">
        <f>Main!AY113</f>
        <v>0</v>
      </c>
      <c r="T126" s="57">
        <f>Main!AZ113</f>
        <v>0</v>
      </c>
      <c r="U126" s="61">
        <f>Main!BA113</f>
        <v>0</v>
      </c>
      <c r="V126" s="61">
        <f>Main!BB113</f>
        <v>0</v>
      </c>
      <c r="W126" s="13">
        <f>Main!BC113</f>
        <v>0</v>
      </c>
      <c r="X126" s="28">
        <f>Main!BD113</f>
        <v>0</v>
      </c>
      <c r="Y126" s="28">
        <f>Main!BE113</f>
        <v>0</v>
      </c>
      <c r="Z126" s="107" t="str">
        <f>Main!BF113</f>
        <v/>
      </c>
      <c r="AA126"/>
    </row>
    <row r="127" spans="2:27" hidden="1" x14ac:dyDescent="0.25">
      <c r="B127"/>
      <c r="C127" s="24">
        <f t="shared" si="1"/>
        <v>107</v>
      </c>
      <c r="D127" s="51" t="str">
        <f>Main!D114</f>
        <v>CAD</v>
      </c>
      <c r="E127" s="83">
        <f>Main!E114</f>
        <v>0</v>
      </c>
      <c r="F127"/>
      <c r="G127" s="52">
        <f>Main!W114</f>
        <v>0</v>
      </c>
      <c r="H127" s="6">
        <f>Main!X114</f>
        <v>0</v>
      </c>
      <c r="I127" s="6">
        <f>Main!Y114</f>
        <v>0</v>
      </c>
      <c r="J127" s="53">
        <f>Main!AE114</f>
        <v>0</v>
      </c>
      <c r="K127"/>
      <c r="L127" s="52">
        <f>Main!AI114</f>
        <v>0</v>
      </c>
      <c r="M127" s="53">
        <f>Main!AJ114</f>
        <v>0</v>
      </c>
      <c r="N127"/>
      <c r="O127" s="54">
        <f>Main!AN114</f>
        <v>0</v>
      </c>
      <c r="P127" s="109">
        <f>Main!AO114</f>
        <v>0</v>
      </c>
      <c r="Q127"/>
      <c r="R127" s="27">
        <f>Main!AX114</f>
        <v>0</v>
      </c>
      <c r="S127" s="57">
        <f>Main!AY114</f>
        <v>0</v>
      </c>
      <c r="T127" s="57">
        <f>Main!AZ114</f>
        <v>0</v>
      </c>
      <c r="U127" s="61">
        <f>Main!BA114</f>
        <v>0</v>
      </c>
      <c r="V127" s="61">
        <f>Main!BB114</f>
        <v>0</v>
      </c>
      <c r="W127" s="13">
        <f>Main!BC114</f>
        <v>0</v>
      </c>
      <c r="X127" s="28">
        <f>Main!BD114</f>
        <v>0</v>
      </c>
      <c r="Y127" s="28">
        <f>Main!BE114</f>
        <v>0</v>
      </c>
      <c r="Z127" s="107" t="str">
        <f>Main!BF114</f>
        <v/>
      </c>
      <c r="AA127"/>
    </row>
    <row r="128" spans="2:27" hidden="1" x14ac:dyDescent="0.25">
      <c r="B128"/>
      <c r="C128" s="24">
        <f t="shared" si="1"/>
        <v>108</v>
      </c>
      <c r="D128" s="51" t="str">
        <f>Main!D115</f>
        <v>CAD</v>
      </c>
      <c r="E128" s="83">
        <f>Main!E115</f>
        <v>0</v>
      </c>
      <c r="F128"/>
      <c r="G128" s="52">
        <f>Main!W115</f>
        <v>0</v>
      </c>
      <c r="H128" s="6">
        <f>Main!X115</f>
        <v>0</v>
      </c>
      <c r="I128" s="6">
        <f>Main!Y115</f>
        <v>0</v>
      </c>
      <c r="J128" s="53">
        <f>Main!AE115</f>
        <v>0</v>
      </c>
      <c r="K128"/>
      <c r="L128" s="52">
        <f>Main!AI115</f>
        <v>0</v>
      </c>
      <c r="M128" s="53">
        <f>Main!AJ115</f>
        <v>0</v>
      </c>
      <c r="N128"/>
      <c r="O128" s="54">
        <f>Main!AN115</f>
        <v>0</v>
      </c>
      <c r="P128" s="109">
        <f>Main!AO115</f>
        <v>0</v>
      </c>
      <c r="Q128"/>
      <c r="R128" s="27">
        <f>Main!AX115</f>
        <v>0</v>
      </c>
      <c r="S128" s="57">
        <f>Main!AY115</f>
        <v>0</v>
      </c>
      <c r="T128" s="57">
        <f>Main!AZ115</f>
        <v>0</v>
      </c>
      <c r="U128" s="61">
        <f>Main!BA115</f>
        <v>0</v>
      </c>
      <c r="V128" s="61">
        <f>Main!BB115</f>
        <v>0</v>
      </c>
      <c r="W128" s="13">
        <f>Main!BC115</f>
        <v>0</v>
      </c>
      <c r="X128" s="28">
        <f>Main!BD115</f>
        <v>0</v>
      </c>
      <c r="Y128" s="28">
        <f>Main!BE115</f>
        <v>0</v>
      </c>
      <c r="Z128" s="107" t="str">
        <f>Main!BF115</f>
        <v/>
      </c>
      <c r="AA128"/>
    </row>
    <row r="129" spans="2:27" hidden="1" x14ac:dyDescent="0.25">
      <c r="B129"/>
      <c r="C129" s="24">
        <f t="shared" si="1"/>
        <v>109</v>
      </c>
      <c r="D129" s="51" t="str">
        <f>Main!D116</f>
        <v>CAD</v>
      </c>
      <c r="E129" s="83">
        <f>Main!E116</f>
        <v>0</v>
      </c>
      <c r="F129"/>
      <c r="G129" s="52">
        <f>Main!W116</f>
        <v>0</v>
      </c>
      <c r="H129" s="6">
        <f>Main!X116</f>
        <v>0</v>
      </c>
      <c r="I129" s="6">
        <f>Main!Y116</f>
        <v>0</v>
      </c>
      <c r="J129" s="53">
        <f>Main!AE116</f>
        <v>0</v>
      </c>
      <c r="K129"/>
      <c r="L129" s="52">
        <f>Main!AI116</f>
        <v>0</v>
      </c>
      <c r="M129" s="53">
        <f>Main!AJ116</f>
        <v>0</v>
      </c>
      <c r="N129"/>
      <c r="O129" s="54">
        <f>Main!AN116</f>
        <v>0</v>
      </c>
      <c r="P129" s="109">
        <f>Main!AO116</f>
        <v>0</v>
      </c>
      <c r="Q129"/>
      <c r="R129" s="27">
        <f>Main!AX116</f>
        <v>0</v>
      </c>
      <c r="S129" s="57">
        <f>Main!AY116</f>
        <v>0</v>
      </c>
      <c r="T129" s="57">
        <f>Main!AZ116</f>
        <v>0</v>
      </c>
      <c r="U129" s="61">
        <f>Main!BA116</f>
        <v>0</v>
      </c>
      <c r="V129" s="61">
        <f>Main!BB116</f>
        <v>0</v>
      </c>
      <c r="W129" s="13">
        <f>Main!BC116</f>
        <v>0</v>
      </c>
      <c r="X129" s="28">
        <f>Main!BD116</f>
        <v>0</v>
      </c>
      <c r="Y129" s="28">
        <f>Main!BE116</f>
        <v>0</v>
      </c>
      <c r="Z129" s="107" t="str">
        <f>Main!BF116</f>
        <v/>
      </c>
      <c r="AA129"/>
    </row>
    <row r="130" spans="2:27" hidden="1" x14ac:dyDescent="0.25">
      <c r="B130"/>
      <c r="C130" s="24">
        <f t="shared" si="1"/>
        <v>110</v>
      </c>
      <c r="D130" s="51" t="str">
        <f>Main!D117</f>
        <v>CAD</v>
      </c>
      <c r="E130" s="83">
        <f>Main!E117</f>
        <v>0</v>
      </c>
      <c r="F130"/>
      <c r="G130" s="52">
        <f>Main!W117</f>
        <v>0</v>
      </c>
      <c r="H130" s="6">
        <f>Main!X117</f>
        <v>0</v>
      </c>
      <c r="I130" s="6">
        <f>Main!Y117</f>
        <v>0</v>
      </c>
      <c r="J130" s="53">
        <f>Main!AE117</f>
        <v>0</v>
      </c>
      <c r="K130"/>
      <c r="L130" s="52">
        <f>Main!AI117</f>
        <v>0</v>
      </c>
      <c r="M130" s="53">
        <f>Main!AJ117</f>
        <v>0</v>
      </c>
      <c r="N130"/>
      <c r="O130" s="54">
        <f>Main!AN117</f>
        <v>0</v>
      </c>
      <c r="P130" s="109">
        <f>Main!AO117</f>
        <v>0</v>
      </c>
      <c r="Q130"/>
      <c r="R130" s="27">
        <f>Main!AX117</f>
        <v>0</v>
      </c>
      <c r="S130" s="57">
        <f>Main!AY117</f>
        <v>0</v>
      </c>
      <c r="T130" s="57">
        <f>Main!AZ117</f>
        <v>0</v>
      </c>
      <c r="U130" s="61">
        <f>Main!BA117</f>
        <v>0</v>
      </c>
      <c r="V130" s="61">
        <f>Main!BB117</f>
        <v>0</v>
      </c>
      <c r="W130" s="13">
        <f>Main!BC117</f>
        <v>0</v>
      </c>
      <c r="X130" s="28">
        <f>Main!BD117</f>
        <v>0</v>
      </c>
      <c r="Y130" s="28">
        <f>Main!BE117</f>
        <v>0</v>
      </c>
      <c r="Z130" s="107" t="str">
        <f>Main!BF117</f>
        <v/>
      </c>
      <c r="AA130"/>
    </row>
    <row r="131" spans="2:27" hidden="1" x14ac:dyDescent="0.25">
      <c r="B131"/>
      <c r="C131" s="24">
        <f t="shared" si="1"/>
        <v>111</v>
      </c>
      <c r="D131" s="51" t="str">
        <f>Main!D118</f>
        <v>CAD</v>
      </c>
      <c r="E131" s="83">
        <f>Main!E118</f>
        <v>0</v>
      </c>
      <c r="F131"/>
      <c r="G131" s="52">
        <f>Main!W118</f>
        <v>0</v>
      </c>
      <c r="H131" s="6">
        <f>Main!X118</f>
        <v>0</v>
      </c>
      <c r="I131" s="6">
        <f>Main!Y118</f>
        <v>0</v>
      </c>
      <c r="J131" s="53">
        <f>Main!AE118</f>
        <v>0</v>
      </c>
      <c r="K131"/>
      <c r="L131" s="52">
        <f>Main!AI118</f>
        <v>0</v>
      </c>
      <c r="M131" s="53">
        <f>Main!AJ118</f>
        <v>0</v>
      </c>
      <c r="N131"/>
      <c r="O131" s="54">
        <f>Main!AN118</f>
        <v>0</v>
      </c>
      <c r="P131" s="109">
        <f>Main!AO118</f>
        <v>0</v>
      </c>
      <c r="Q131"/>
      <c r="R131" s="27">
        <f>Main!AX118</f>
        <v>0</v>
      </c>
      <c r="S131" s="57">
        <f>Main!AY118</f>
        <v>0</v>
      </c>
      <c r="T131" s="57">
        <f>Main!AZ118</f>
        <v>0</v>
      </c>
      <c r="U131" s="61">
        <f>Main!BA118</f>
        <v>0</v>
      </c>
      <c r="V131" s="61">
        <f>Main!BB118</f>
        <v>0</v>
      </c>
      <c r="W131" s="13">
        <f>Main!BC118</f>
        <v>0</v>
      </c>
      <c r="X131" s="28">
        <f>Main!BD118</f>
        <v>0</v>
      </c>
      <c r="Y131" s="28">
        <f>Main!BE118</f>
        <v>0</v>
      </c>
      <c r="Z131" s="107" t="str">
        <f>Main!BF118</f>
        <v/>
      </c>
      <c r="AA131"/>
    </row>
    <row r="132" spans="2:27" hidden="1" x14ac:dyDescent="0.25">
      <c r="B132"/>
      <c r="C132" s="24">
        <f t="shared" si="1"/>
        <v>112</v>
      </c>
      <c r="D132" s="51" t="str">
        <f>Main!D119</f>
        <v>CAD</v>
      </c>
      <c r="E132" s="83">
        <f>Main!E119</f>
        <v>0</v>
      </c>
      <c r="F132"/>
      <c r="G132" s="52">
        <f>Main!W119</f>
        <v>0</v>
      </c>
      <c r="H132" s="6">
        <f>Main!X119</f>
        <v>0</v>
      </c>
      <c r="I132" s="6">
        <f>Main!Y119</f>
        <v>0</v>
      </c>
      <c r="J132" s="53">
        <f>Main!AE119</f>
        <v>0</v>
      </c>
      <c r="K132"/>
      <c r="L132" s="52">
        <f>Main!AI119</f>
        <v>0</v>
      </c>
      <c r="M132" s="53">
        <f>Main!AJ119</f>
        <v>0</v>
      </c>
      <c r="N132"/>
      <c r="O132" s="54">
        <f>Main!AN119</f>
        <v>0</v>
      </c>
      <c r="P132" s="109">
        <f>Main!AO119</f>
        <v>0</v>
      </c>
      <c r="Q132"/>
      <c r="R132" s="27">
        <f>Main!AX119</f>
        <v>0</v>
      </c>
      <c r="S132" s="57">
        <f>Main!AY119</f>
        <v>0</v>
      </c>
      <c r="T132" s="57">
        <f>Main!AZ119</f>
        <v>0</v>
      </c>
      <c r="U132" s="61">
        <f>Main!BA119</f>
        <v>0</v>
      </c>
      <c r="V132" s="61">
        <f>Main!BB119</f>
        <v>0</v>
      </c>
      <c r="W132" s="13">
        <f>Main!BC119</f>
        <v>0</v>
      </c>
      <c r="X132" s="28">
        <f>Main!BD119</f>
        <v>0</v>
      </c>
      <c r="Y132" s="28">
        <f>Main!BE119</f>
        <v>0</v>
      </c>
      <c r="Z132" s="107" t="str">
        <f>Main!BF119</f>
        <v/>
      </c>
      <c r="AA132"/>
    </row>
    <row r="133" spans="2:27" hidden="1" x14ac:dyDescent="0.25">
      <c r="B133"/>
      <c r="C133" s="24">
        <f t="shared" si="1"/>
        <v>113</v>
      </c>
      <c r="D133" s="51" t="str">
        <f>Main!D120</f>
        <v>CAD</v>
      </c>
      <c r="E133" s="83">
        <f>Main!E120</f>
        <v>0</v>
      </c>
      <c r="F133"/>
      <c r="G133" s="52">
        <f>Main!W120</f>
        <v>0</v>
      </c>
      <c r="H133" s="6">
        <f>Main!X120</f>
        <v>0</v>
      </c>
      <c r="I133" s="6">
        <f>Main!Y120</f>
        <v>0</v>
      </c>
      <c r="J133" s="53">
        <f>Main!AE120</f>
        <v>0</v>
      </c>
      <c r="K133"/>
      <c r="L133" s="52">
        <f>Main!AI120</f>
        <v>0</v>
      </c>
      <c r="M133" s="53">
        <f>Main!AJ120</f>
        <v>0</v>
      </c>
      <c r="N133"/>
      <c r="O133" s="54">
        <f>Main!AN120</f>
        <v>0</v>
      </c>
      <c r="P133" s="109">
        <f>Main!AO120</f>
        <v>0</v>
      </c>
      <c r="Q133"/>
      <c r="R133" s="27">
        <f>Main!AX120</f>
        <v>0</v>
      </c>
      <c r="S133" s="57">
        <f>Main!AY120</f>
        <v>0</v>
      </c>
      <c r="T133" s="57">
        <f>Main!AZ120</f>
        <v>0</v>
      </c>
      <c r="U133" s="61">
        <f>Main!BA120</f>
        <v>0</v>
      </c>
      <c r="V133" s="61">
        <f>Main!BB120</f>
        <v>0</v>
      </c>
      <c r="W133" s="13">
        <f>Main!BC120</f>
        <v>0</v>
      </c>
      <c r="X133" s="28">
        <f>Main!BD120</f>
        <v>0</v>
      </c>
      <c r="Y133" s="28">
        <f>Main!BE120</f>
        <v>0</v>
      </c>
      <c r="Z133" s="107" t="str">
        <f>Main!BF120</f>
        <v/>
      </c>
      <c r="AA133"/>
    </row>
    <row r="134" spans="2:27" hidden="1" x14ac:dyDescent="0.25">
      <c r="B134"/>
      <c r="C134" s="24">
        <f t="shared" si="1"/>
        <v>114</v>
      </c>
      <c r="D134" s="51" t="str">
        <f>Main!D121</f>
        <v>CAD</v>
      </c>
      <c r="E134" s="83">
        <f>Main!E121</f>
        <v>0</v>
      </c>
      <c r="F134"/>
      <c r="G134" s="52">
        <f>Main!W121</f>
        <v>0</v>
      </c>
      <c r="H134" s="6">
        <f>Main!X121</f>
        <v>0</v>
      </c>
      <c r="I134" s="6">
        <f>Main!Y121</f>
        <v>0</v>
      </c>
      <c r="J134" s="53">
        <f>Main!AE121</f>
        <v>0</v>
      </c>
      <c r="K134"/>
      <c r="L134" s="52">
        <f>Main!AI121</f>
        <v>0</v>
      </c>
      <c r="M134" s="53">
        <f>Main!AJ121</f>
        <v>0</v>
      </c>
      <c r="N134"/>
      <c r="O134" s="54">
        <f>Main!AN121</f>
        <v>0</v>
      </c>
      <c r="P134" s="109">
        <f>Main!AO121</f>
        <v>0</v>
      </c>
      <c r="Q134"/>
      <c r="R134" s="27">
        <f>Main!AX121</f>
        <v>0</v>
      </c>
      <c r="S134" s="57">
        <f>Main!AY121</f>
        <v>0</v>
      </c>
      <c r="T134" s="57">
        <f>Main!AZ121</f>
        <v>0</v>
      </c>
      <c r="U134" s="61">
        <f>Main!BA121</f>
        <v>0</v>
      </c>
      <c r="V134" s="61">
        <f>Main!BB121</f>
        <v>0</v>
      </c>
      <c r="W134" s="13">
        <f>Main!BC121</f>
        <v>0</v>
      </c>
      <c r="X134" s="28">
        <f>Main!BD121</f>
        <v>0</v>
      </c>
      <c r="Y134" s="28">
        <f>Main!BE121</f>
        <v>0</v>
      </c>
      <c r="Z134" s="107" t="str">
        <f>Main!BF121</f>
        <v/>
      </c>
      <c r="AA134"/>
    </row>
    <row r="135" spans="2:27" hidden="1" x14ac:dyDescent="0.25">
      <c r="B135"/>
      <c r="C135" s="24">
        <f t="shared" si="1"/>
        <v>115</v>
      </c>
      <c r="D135" s="51" t="str">
        <f>Main!D122</f>
        <v>CAD</v>
      </c>
      <c r="E135" s="83">
        <f>Main!E122</f>
        <v>0</v>
      </c>
      <c r="F135"/>
      <c r="G135" s="52">
        <f>Main!W122</f>
        <v>0</v>
      </c>
      <c r="H135" s="6">
        <f>Main!X122</f>
        <v>0</v>
      </c>
      <c r="I135" s="6">
        <f>Main!Y122</f>
        <v>0</v>
      </c>
      <c r="J135" s="53">
        <f>Main!AE122</f>
        <v>0</v>
      </c>
      <c r="K135"/>
      <c r="L135" s="52">
        <f>Main!AI122</f>
        <v>0</v>
      </c>
      <c r="M135" s="53">
        <f>Main!AJ122</f>
        <v>0</v>
      </c>
      <c r="N135"/>
      <c r="O135" s="54">
        <f>Main!AN122</f>
        <v>0</v>
      </c>
      <c r="P135" s="109">
        <f>Main!AO122</f>
        <v>0</v>
      </c>
      <c r="Q135"/>
      <c r="R135" s="27">
        <f>Main!AX122</f>
        <v>0</v>
      </c>
      <c r="S135" s="57">
        <f>Main!AY122</f>
        <v>0</v>
      </c>
      <c r="T135" s="57">
        <f>Main!AZ122</f>
        <v>0</v>
      </c>
      <c r="U135" s="61">
        <f>Main!BA122</f>
        <v>0</v>
      </c>
      <c r="V135" s="61">
        <f>Main!BB122</f>
        <v>0</v>
      </c>
      <c r="W135" s="13">
        <f>Main!BC122</f>
        <v>0</v>
      </c>
      <c r="X135" s="28">
        <f>Main!BD122</f>
        <v>0</v>
      </c>
      <c r="Y135" s="28">
        <f>Main!BE122</f>
        <v>0</v>
      </c>
      <c r="Z135" s="107" t="str">
        <f>Main!BF122</f>
        <v/>
      </c>
      <c r="AA135"/>
    </row>
    <row r="136" spans="2:27" hidden="1" x14ac:dyDescent="0.25">
      <c r="B136"/>
      <c r="C136" s="24">
        <f t="shared" si="1"/>
        <v>116</v>
      </c>
      <c r="D136" s="51" t="str">
        <f>Main!D123</f>
        <v>CAD</v>
      </c>
      <c r="E136" s="83">
        <f>Main!E123</f>
        <v>0</v>
      </c>
      <c r="F136"/>
      <c r="G136" s="52">
        <f>Main!W123</f>
        <v>0</v>
      </c>
      <c r="H136" s="6">
        <f>Main!X123</f>
        <v>0</v>
      </c>
      <c r="I136" s="6">
        <f>Main!Y123</f>
        <v>0</v>
      </c>
      <c r="J136" s="53">
        <f>Main!AE123</f>
        <v>0</v>
      </c>
      <c r="K136"/>
      <c r="L136" s="52">
        <f>Main!AI123</f>
        <v>0</v>
      </c>
      <c r="M136" s="53">
        <f>Main!AJ123</f>
        <v>0</v>
      </c>
      <c r="N136"/>
      <c r="O136" s="54">
        <f>Main!AN123</f>
        <v>0</v>
      </c>
      <c r="P136" s="109">
        <f>Main!AO123</f>
        <v>0</v>
      </c>
      <c r="Q136"/>
      <c r="R136" s="27">
        <f>Main!AX123</f>
        <v>0</v>
      </c>
      <c r="S136" s="57">
        <f>Main!AY123</f>
        <v>0</v>
      </c>
      <c r="T136" s="57">
        <f>Main!AZ123</f>
        <v>0</v>
      </c>
      <c r="U136" s="61">
        <f>Main!BA123</f>
        <v>0</v>
      </c>
      <c r="V136" s="61">
        <f>Main!BB123</f>
        <v>0</v>
      </c>
      <c r="W136" s="13">
        <f>Main!BC123</f>
        <v>0</v>
      </c>
      <c r="X136" s="28">
        <f>Main!BD123</f>
        <v>0</v>
      </c>
      <c r="Y136" s="28">
        <f>Main!BE123</f>
        <v>0</v>
      </c>
      <c r="Z136" s="107" t="str">
        <f>Main!BF123</f>
        <v/>
      </c>
      <c r="AA136"/>
    </row>
    <row r="137" spans="2:27" hidden="1" x14ac:dyDescent="0.25">
      <c r="B137"/>
      <c r="C137" s="24">
        <f t="shared" si="1"/>
        <v>117</v>
      </c>
      <c r="D137" s="51" t="str">
        <f>Main!D124</f>
        <v>CAD</v>
      </c>
      <c r="E137" s="83">
        <f>Main!E124</f>
        <v>0</v>
      </c>
      <c r="F137"/>
      <c r="G137" s="52">
        <f>Main!W124</f>
        <v>0</v>
      </c>
      <c r="H137" s="6">
        <f>Main!X124</f>
        <v>0</v>
      </c>
      <c r="I137" s="6">
        <f>Main!Y124</f>
        <v>0</v>
      </c>
      <c r="J137" s="53">
        <f>Main!AE124</f>
        <v>0</v>
      </c>
      <c r="K137"/>
      <c r="L137" s="52">
        <f>Main!AI124</f>
        <v>0</v>
      </c>
      <c r="M137" s="53">
        <f>Main!AJ124</f>
        <v>0</v>
      </c>
      <c r="N137"/>
      <c r="O137" s="54">
        <f>Main!AN124</f>
        <v>0</v>
      </c>
      <c r="P137" s="109">
        <f>Main!AO124</f>
        <v>0</v>
      </c>
      <c r="Q137"/>
      <c r="R137" s="27">
        <f>Main!AX124</f>
        <v>0</v>
      </c>
      <c r="S137" s="57">
        <f>Main!AY124</f>
        <v>0</v>
      </c>
      <c r="T137" s="57">
        <f>Main!AZ124</f>
        <v>0</v>
      </c>
      <c r="U137" s="61">
        <f>Main!BA124</f>
        <v>0</v>
      </c>
      <c r="V137" s="61">
        <f>Main!BB124</f>
        <v>0</v>
      </c>
      <c r="W137" s="13">
        <f>Main!BC124</f>
        <v>0</v>
      </c>
      <c r="X137" s="28">
        <f>Main!BD124</f>
        <v>0</v>
      </c>
      <c r="Y137" s="28">
        <f>Main!BE124</f>
        <v>0</v>
      </c>
      <c r="Z137" s="107" t="str">
        <f>Main!BF124</f>
        <v/>
      </c>
      <c r="AA137"/>
    </row>
    <row r="138" spans="2:27" hidden="1" x14ac:dyDescent="0.25">
      <c r="B138"/>
      <c r="C138" s="24">
        <f t="shared" si="1"/>
        <v>118</v>
      </c>
      <c r="D138" s="51" t="str">
        <f>Main!D125</f>
        <v>CAD</v>
      </c>
      <c r="E138" s="83">
        <f>Main!E125</f>
        <v>0</v>
      </c>
      <c r="F138"/>
      <c r="G138" s="52">
        <f>Main!W125</f>
        <v>0</v>
      </c>
      <c r="H138" s="6">
        <f>Main!X125</f>
        <v>0</v>
      </c>
      <c r="I138" s="6">
        <f>Main!Y125</f>
        <v>0</v>
      </c>
      <c r="J138" s="53">
        <f>Main!AE125</f>
        <v>0</v>
      </c>
      <c r="K138"/>
      <c r="L138" s="52">
        <f>Main!AI125</f>
        <v>0</v>
      </c>
      <c r="M138" s="53">
        <f>Main!AJ125</f>
        <v>0</v>
      </c>
      <c r="N138"/>
      <c r="O138" s="54">
        <f>Main!AN125</f>
        <v>0</v>
      </c>
      <c r="P138" s="109">
        <f>Main!AO125</f>
        <v>0</v>
      </c>
      <c r="Q138"/>
      <c r="R138" s="27">
        <f>Main!AX125</f>
        <v>0</v>
      </c>
      <c r="S138" s="57">
        <f>Main!AY125</f>
        <v>0</v>
      </c>
      <c r="T138" s="57">
        <f>Main!AZ125</f>
        <v>0</v>
      </c>
      <c r="U138" s="61">
        <f>Main!BA125</f>
        <v>0</v>
      </c>
      <c r="V138" s="61">
        <f>Main!BB125</f>
        <v>0</v>
      </c>
      <c r="W138" s="13">
        <f>Main!BC125</f>
        <v>0</v>
      </c>
      <c r="X138" s="28">
        <f>Main!BD125</f>
        <v>0</v>
      </c>
      <c r="Y138" s="28">
        <f>Main!BE125</f>
        <v>0</v>
      </c>
      <c r="Z138" s="107" t="str">
        <f>Main!BF125</f>
        <v/>
      </c>
      <c r="AA138"/>
    </row>
    <row r="139" spans="2:27" hidden="1" x14ac:dyDescent="0.25">
      <c r="B139"/>
      <c r="C139" s="24">
        <f t="shared" si="1"/>
        <v>119</v>
      </c>
      <c r="D139" s="51" t="str">
        <f>Main!D126</f>
        <v>CAD</v>
      </c>
      <c r="E139" s="83">
        <f>Main!E126</f>
        <v>0</v>
      </c>
      <c r="F139"/>
      <c r="G139" s="52">
        <f>Main!W126</f>
        <v>0</v>
      </c>
      <c r="H139" s="6">
        <f>Main!X126</f>
        <v>0</v>
      </c>
      <c r="I139" s="6">
        <f>Main!Y126</f>
        <v>0</v>
      </c>
      <c r="J139" s="53">
        <f>Main!AE126</f>
        <v>0</v>
      </c>
      <c r="K139"/>
      <c r="L139" s="52">
        <f>Main!AI126</f>
        <v>0</v>
      </c>
      <c r="M139" s="53">
        <f>Main!AJ126</f>
        <v>0</v>
      </c>
      <c r="N139"/>
      <c r="O139" s="54">
        <f>Main!AN126</f>
        <v>0</v>
      </c>
      <c r="P139" s="109">
        <f>Main!AO126</f>
        <v>0</v>
      </c>
      <c r="Q139"/>
      <c r="R139" s="27">
        <f>Main!AX126</f>
        <v>0</v>
      </c>
      <c r="S139" s="57">
        <f>Main!AY126</f>
        <v>0</v>
      </c>
      <c r="T139" s="57">
        <f>Main!AZ126</f>
        <v>0</v>
      </c>
      <c r="U139" s="61">
        <f>Main!BA126</f>
        <v>0</v>
      </c>
      <c r="V139" s="61">
        <f>Main!BB126</f>
        <v>0</v>
      </c>
      <c r="W139" s="13">
        <f>Main!BC126</f>
        <v>0</v>
      </c>
      <c r="X139" s="28">
        <f>Main!BD126</f>
        <v>0</v>
      </c>
      <c r="Y139" s="28">
        <f>Main!BE126</f>
        <v>0</v>
      </c>
      <c r="Z139" s="107" t="str">
        <f>Main!BF126</f>
        <v/>
      </c>
      <c r="AA139"/>
    </row>
    <row r="140" spans="2:27" hidden="1" x14ac:dyDescent="0.25">
      <c r="B140"/>
      <c r="C140" s="46">
        <f t="shared" si="1"/>
        <v>120</v>
      </c>
      <c r="D140" s="47" t="str">
        <f>Main!D127</f>
        <v>CAD</v>
      </c>
      <c r="E140" s="79">
        <f>Main!E127</f>
        <v>0</v>
      </c>
      <c r="F140"/>
      <c r="G140" s="52">
        <f>Main!W127</f>
        <v>0</v>
      </c>
      <c r="H140" s="6">
        <f>Main!X127</f>
        <v>0</v>
      </c>
      <c r="I140" s="6">
        <f>Main!Y127</f>
        <v>0</v>
      </c>
      <c r="J140" s="53">
        <f>Main!AE127</f>
        <v>0</v>
      </c>
      <c r="K140"/>
      <c r="L140" s="52">
        <f>Main!AI127</f>
        <v>0</v>
      </c>
      <c r="M140" s="55">
        <f>Main!AJ127</f>
        <v>0</v>
      </c>
      <c r="N140"/>
      <c r="O140" s="56">
        <f>Main!AN127</f>
        <v>0</v>
      </c>
      <c r="P140" s="110">
        <f>Main!AO127</f>
        <v>0</v>
      </c>
      <c r="Q140"/>
      <c r="R140" s="58">
        <f>Main!AX127</f>
        <v>0</v>
      </c>
      <c r="S140" s="60">
        <f>Main!AY127</f>
        <v>0</v>
      </c>
      <c r="T140" s="60">
        <f>Main!AZ127</f>
        <v>0</v>
      </c>
      <c r="U140" s="62">
        <f>Main!BA127</f>
        <v>0</v>
      </c>
      <c r="V140" s="62">
        <f>Main!BB127</f>
        <v>0</v>
      </c>
      <c r="W140" s="59">
        <f>Main!BC127</f>
        <v>0</v>
      </c>
      <c r="X140" s="37">
        <f>Main!BD127</f>
        <v>0</v>
      </c>
      <c r="Y140" s="37">
        <f>Main!BE127</f>
        <v>0</v>
      </c>
      <c r="Z140" s="108" t="str">
        <f>Main!BF127</f>
        <v/>
      </c>
      <c r="AA140"/>
    </row>
    <row r="141" spans="2:27" ht="9.9499999999999993" customHeight="1" x14ac:dyDescent="0.25">
      <c r="B141"/>
      <c r="C141" s="29"/>
      <c r="D141" s="29"/>
      <c r="E141" s="29"/>
      <c r="F141"/>
      <c r="G141" s="30"/>
      <c r="H141" s="30"/>
      <c r="I141" s="30"/>
      <c r="J141" s="30"/>
      <c r="K141"/>
      <c r="L141" s="30"/>
      <c r="M141" s="30"/>
      <c r="N141"/>
      <c r="O141" s="30"/>
      <c r="P141" s="30"/>
      <c r="Q141"/>
      <c r="R141" s="30"/>
      <c r="S141" s="30"/>
      <c r="T141" s="30"/>
      <c r="U141" s="30"/>
      <c r="V141" s="30"/>
      <c r="W141" s="30"/>
      <c r="X141" s="30"/>
      <c r="Y141" s="30"/>
      <c r="Z141" s="30"/>
      <c r="AA141"/>
    </row>
    <row r="142" spans="2:27" ht="9.9499999999999993" customHeight="1" x14ac:dyDescent="0.25"/>
  </sheetData>
  <sheetProtection algorithmName="SHA-512" hashValue="GNM/3TSmEQE3NQJ3J894gkNlmklDYg9JFN3vRk24+aX5S55YLEvKSV9NPvVWMto/VgB9DkakGqCV+eM4IrLn9w==" saltValue="MeKzX9mIaYUz5fP9Wl172g==" spinCount="100000" sheet="1" objects="1" scenarios="1"/>
  <protectedRanges>
    <protectedRange sqref="D21:Q140" name="Inputs"/>
  </protectedRanges>
  <mergeCells count="10">
    <mergeCell ref="Y19:Z19"/>
    <mergeCell ref="R19:X19"/>
    <mergeCell ref="C2:E4"/>
    <mergeCell ref="C19:E19"/>
    <mergeCell ref="G19:J19"/>
    <mergeCell ref="L19:M19"/>
    <mergeCell ref="O19:P19"/>
    <mergeCell ref="C6:E6"/>
    <mergeCell ref="C7:D7"/>
    <mergeCell ref="C8:C12"/>
  </mergeCells>
  <dataValidations count="2">
    <dataValidation type="list" allowBlank="1" showInputMessage="1" showErrorMessage="1" sqref="O24:O140" xr:uid="{C79FBCB9-6780-4CC7-90C8-A7AC59F6417B}">
      <formula1>"Y, N"</formula1>
    </dataValidation>
    <dataValidation type="list" allowBlank="1" showInputMessage="1" showErrorMessage="1" sqref="D24:D140" xr:uid="{25567B6C-4D77-40C8-85F7-35CB23E4A96D}">
      <formula1>"CAD"</formula1>
    </dataValidation>
  </dataValidations>
  <pageMargins left="0.7" right="0.7" top="0.75" bottom="0.75" header="0.3" footer="0.3"/>
  <pageSetup paperSize="9" scale="44" fitToHeight="0" orientation="landscape" verticalDpi="1200" r:id="rId1"/>
  <colBreaks count="1" manualBreakCount="1">
    <brk id="2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Sheet4.SaveAsPDF">
                <anchor moveWithCells="1" sizeWithCells="1">
                  <from>
                    <xdr:col>28</xdr:col>
                    <xdr:colOff>85725</xdr:colOff>
                    <xdr:row>1</xdr:row>
                    <xdr:rowOff>28575</xdr:rowOff>
                  </from>
                  <to>
                    <xdr:col>30</xdr:col>
                    <xdr:colOff>495300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1F2C01C-A8A1-485E-91C7-AE84BFDAE0B2}">
          <x14:formula1>
            <xm:f>'Rating Factors'!$AD$2:$AD$12</xm:f>
          </x14:formula1>
          <xm:sqref>M24:M140</xm:sqref>
        </x14:dataValidation>
        <x14:dataValidation type="list" allowBlank="1" showInputMessage="1" showErrorMessage="1" xr:uid="{ABCA06E3-6F14-4B2D-910E-8CDF3CDA1788}">
          <x14:formula1>
            <xm:f>'Rating Factors'!$AB$2:$AB$12</xm:f>
          </x14:formula1>
          <xm:sqref>L24:L140</xm:sqref>
        </x14:dataValidation>
        <x14:dataValidation type="list" allowBlank="1" showInputMessage="1" showErrorMessage="1" xr:uid="{8EE8ECD6-46C8-43C0-ADAE-1A4639EAA476}">
          <x14:formula1>
            <xm:f>'Rating Factors'!$Z$2:$Z$11</xm:f>
          </x14:formula1>
          <xm:sqref>J24:J140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CBEF7-DDBD-4890-A4C8-4C2AFF6BE88C}">
  <sheetPr codeName="Sheet2"/>
  <dimension ref="A1:BW94"/>
  <sheetViews>
    <sheetView showGridLines="0" topLeftCell="BE1" workbookViewId="0">
      <selection activeCell="BT4" sqref="BT4"/>
    </sheetView>
  </sheetViews>
  <sheetFormatPr defaultColWidth="1.28515625" defaultRowHeight="15" x14ac:dyDescent="0.25"/>
  <cols>
    <col min="1" max="1" width="19.85546875" bestFit="1" customWidth="1"/>
    <col min="2" max="2" width="14" style="12" customWidth="1"/>
    <col min="3" max="3" width="62.5703125" style="18" bestFit="1" customWidth="1"/>
    <col min="4" max="4" width="9.140625" style="187" bestFit="1" customWidth="1"/>
    <col min="5" max="5" width="17.5703125" style="192" bestFit="1" customWidth="1"/>
    <col min="6" max="6" width="25" customWidth="1"/>
    <col min="7" max="7" width="7.5703125" style="12" customWidth="1"/>
    <col min="8" max="8" width="18.140625" customWidth="1"/>
    <col min="9" max="9" width="6.140625" style="12" customWidth="1"/>
    <col min="10" max="10" width="18.28515625" customWidth="1"/>
    <col min="11" max="11" width="7.5703125" style="12" customWidth="1"/>
    <col min="12" max="12" width="18.28515625" customWidth="1"/>
    <col min="13" max="13" width="7.5703125" style="12" customWidth="1"/>
    <col min="14" max="14" width="20.85546875" customWidth="1"/>
    <col min="15" max="15" width="7.5703125" style="12" customWidth="1"/>
    <col min="16" max="16" width="18.28515625" customWidth="1"/>
    <col min="17" max="17" width="7.5703125" style="12" customWidth="1"/>
    <col min="18" max="18" width="11.42578125" customWidth="1"/>
    <col min="19" max="19" width="7.5703125" style="12" customWidth="1"/>
    <col min="20" max="20" width="16.7109375" customWidth="1"/>
    <col min="21" max="21" width="8.7109375" style="12" customWidth="1"/>
    <col min="22" max="22" width="8.7109375" customWidth="1"/>
    <col min="23" max="23" width="7.5703125" style="12" customWidth="1"/>
    <col min="24" max="24" width="15" customWidth="1"/>
    <col min="25" max="25" width="7.5703125" style="12" customWidth="1"/>
    <col min="26" max="26" width="14.28515625" customWidth="1"/>
    <col min="27" max="27" width="5.140625" style="12" customWidth="1"/>
    <col min="28" max="28" width="18.28515625" customWidth="1"/>
    <col min="29" max="29" width="7.5703125" style="12" customWidth="1"/>
    <col min="30" max="30" width="12.85546875" customWidth="1"/>
    <col min="31" max="31" width="6.140625" style="12" customWidth="1"/>
    <col min="32" max="32" width="6" customWidth="1"/>
    <col min="33" max="33" width="5.140625" style="12" customWidth="1"/>
    <col min="34" max="34" width="11" customWidth="1"/>
    <col min="35" max="35" width="7.140625" style="12" customWidth="1"/>
    <col min="36" max="36" width="10.28515625" customWidth="1"/>
    <col min="37" max="37" width="14.85546875" customWidth="1"/>
    <col min="38" max="38" width="7.140625" customWidth="1"/>
    <col min="39" max="39" width="13.7109375" style="18" customWidth="1"/>
    <col min="40" max="40" width="12.140625" customWidth="1"/>
    <col min="41" max="41" width="12.140625" style="12" customWidth="1"/>
    <col min="42" max="42" width="14.85546875" customWidth="1"/>
    <col min="43" max="43" width="12.140625" customWidth="1"/>
    <col min="44" max="44" width="33" hidden="1" customWidth="1"/>
    <col min="45" max="45" width="8" hidden="1" customWidth="1"/>
    <col min="46" max="46" width="7.85546875" hidden="1" customWidth="1"/>
    <col min="47" max="54" width="8.85546875" hidden="1" customWidth="1"/>
    <col min="55" max="55" width="8.85546875" style="12" hidden="1" customWidth="1"/>
    <col min="56" max="56" width="19.7109375" customWidth="1"/>
    <col min="57" max="57" width="7.5703125" style="12" customWidth="1"/>
    <col min="58" max="58" width="22.28515625" style="15" bestFit="1" customWidth="1"/>
    <col min="59" max="59" width="23.140625" style="15" bestFit="1" customWidth="1"/>
    <col min="60" max="60" width="18.42578125" customWidth="1"/>
    <col min="61" max="61" width="14.42578125" style="12" customWidth="1"/>
    <col min="62" max="63" width="14.42578125" customWidth="1"/>
    <col min="64" max="64" width="17.85546875" bestFit="1" customWidth="1"/>
    <col min="65" max="65" width="17.7109375" style="18" bestFit="1" customWidth="1"/>
    <col min="66" max="66" width="14.42578125" customWidth="1"/>
    <col min="67" max="67" width="23.42578125" style="18" bestFit="1" customWidth="1"/>
    <col min="68" max="68" width="8.85546875" style="12" customWidth="1"/>
    <col min="69" max="69" width="18.85546875" customWidth="1"/>
    <col min="70" max="70" width="6" style="224" bestFit="1" customWidth="1"/>
    <col min="71" max="71" width="16.5703125" style="224" bestFit="1" customWidth="1"/>
    <col min="72" max="72" width="5.140625" style="224" bestFit="1" customWidth="1"/>
    <col min="73" max="73" width="9.140625" style="227" bestFit="1" customWidth="1"/>
    <col min="74" max="74" width="14.42578125" style="18" customWidth="1"/>
    <col min="75" max="75" width="15.140625" style="12" customWidth="1"/>
  </cols>
  <sheetData>
    <row r="1" spans="1:75" s="10" customFormat="1" x14ac:dyDescent="0.25">
      <c r="A1" s="10" t="s">
        <v>11</v>
      </c>
      <c r="B1" s="11" t="s">
        <v>38</v>
      </c>
      <c r="C1" s="45" t="s">
        <v>12</v>
      </c>
      <c r="D1" s="188" t="s">
        <v>39</v>
      </c>
      <c r="E1" s="189" t="s">
        <v>1324</v>
      </c>
      <c r="F1" s="10" t="s">
        <v>13</v>
      </c>
      <c r="G1" s="11" t="s">
        <v>38</v>
      </c>
      <c r="H1" s="10" t="s">
        <v>14</v>
      </c>
      <c r="I1" s="11" t="s">
        <v>38</v>
      </c>
      <c r="J1" s="10" t="s">
        <v>1272</v>
      </c>
      <c r="K1" s="11" t="s">
        <v>38</v>
      </c>
      <c r="L1" s="10" t="s">
        <v>1280</v>
      </c>
      <c r="M1" s="11" t="s">
        <v>38</v>
      </c>
      <c r="N1" s="10" t="s">
        <v>1281</v>
      </c>
      <c r="O1" s="11" t="s">
        <v>38</v>
      </c>
      <c r="P1" s="10" t="s">
        <v>1282</v>
      </c>
      <c r="Q1" s="11" t="s">
        <v>38</v>
      </c>
      <c r="R1" s="10" t="s">
        <v>15</v>
      </c>
      <c r="S1" s="11" t="s">
        <v>38</v>
      </c>
      <c r="T1" s="10" t="s">
        <v>16</v>
      </c>
      <c r="U1" s="11" t="s">
        <v>38</v>
      </c>
      <c r="V1" s="10" t="s">
        <v>17</v>
      </c>
      <c r="W1" s="11" t="s">
        <v>38</v>
      </c>
      <c r="X1" s="10" t="s">
        <v>18</v>
      </c>
      <c r="Y1" s="11" t="s">
        <v>38</v>
      </c>
      <c r="Z1" s="10" t="s">
        <v>40</v>
      </c>
      <c r="AA1" s="11" t="s">
        <v>38</v>
      </c>
      <c r="AB1" s="10" t="s">
        <v>41</v>
      </c>
      <c r="AC1" s="11" t="s">
        <v>38</v>
      </c>
      <c r="AD1" s="10" t="s">
        <v>42</v>
      </c>
      <c r="AE1" s="11" t="s">
        <v>38</v>
      </c>
      <c r="AF1" s="10" t="s">
        <v>43</v>
      </c>
      <c r="AG1" s="11" t="s">
        <v>38</v>
      </c>
      <c r="AH1" s="10" t="s">
        <v>44</v>
      </c>
      <c r="AI1" s="11" t="s">
        <v>38</v>
      </c>
      <c r="AJ1" s="10" t="s">
        <v>1287</v>
      </c>
      <c r="AK1" s="10" t="s">
        <v>1288</v>
      </c>
      <c r="AM1" s="45" t="s">
        <v>45</v>
      </c>
      <c r="AN1" s="80" t="s">
        <v>46</v>
      </c>
      <c r="AO1" s="81" t="s">
        <v>47</v>
      </c>
      <c r="AP1" s="10" t="s">
        <v>1290</v>
      </c>
      <c r="AQ1" s="10" t="s">
        <v>38</v>
      </c>
      <c r="AR1" s="80" t="s">
        <v>48</v>
      </c>
      <c r="AS1" s="77">
        <v>0</v>
      </c>
      <c r="AT1" s="77">
        <v>5000</v>
      </c>
      <c r="AU1" s="77">
        <v>10000</v>
      </c>
      <c r="AV1" s="77">
        <v>15000</v>
      </c>
      <c r="AW1" s="77">
        <v>20000</v>
      </c>
      <c r="AX1" s="77">
        <v>25000</v>
      </c>
      <c r="AY1" s="77">
        <v>30000</v>
      </c>
      <c r="AZ1" s="77">
        <v>35000</v>
      </c>
      <c r="BA1" s="77">
        <v>40000</v>
      </c>
      <c r="BB1" s="77">
        <v>45000</v>
      </c>
      <c r="BC1" s="78">
        <v>50000</v>
      </c>
      <c r="BD1" s="10" t="s">
        <v>49</v>
      </c>
      <c r="BE1" s="11" t="s">
        <v>38</v>
      </c>
      <c r="BF1" s="14" t="s">
        <v>50</v>
      </c>
      <c r="BG1" s="14" t="s">
        <v>51</v>
      </c>
      <c r="BH1" s="10" t="s">
        <v>52</v>
      </c>
      <c r="BI1" s="11" t="s">
        <v>38</v>
      </c>
      <c r="BJ1" s="10" t="s">
        <v>53</v>
      </c>
      <c r="BK1" s="10" t="s">
        <v>54</v>
      </c>
      <c r="BL1" s="10" t="s">
        <v>1323</v>
      </c>
      <c r="BM1" s="10" t="s">
        <v>55</v>
      </c>
      <c r="BN1" s="10" t="s">
        <v>38</v>
      </c>
      <c r="BO1" s="45" t="s">
        <v>35</v>
      </c>
      <c r="BP1" s="81" t="s">
        <v>38</v>
      </c>
      <c r="BQ1" s="80" t="s">
        <v>1305</v>
      </c>
      <c r="BR1" s="80" t="s">
        <v>38</v>
      </c>
      <c r="BS1" s="225" t="s">
        <v>1310</v>
      </c>
      <c r="BT1" s="225" t="s">
        <v>38</v>
      </c>
      <c r="BU1" s="226" t="s">
        <v>1325</v>
      </c>
      <c r="BV1" s="45" t="s">
        <v>1315</v>
      </c>
      <c r="BW1" s="81" t="s">
        <v>38</v>
      </c>
    </row>
    <row r="2" spans="1:75" x14ac:dyDescent="0.25">
      <c r="A2" t="s">
        <v>56</v>
      </c>
      <c r="B2" s="12">
        <v>1</v>
      </c>
      <c r="C2" s="190" t="s">
        <v>57</v>
      </c>
      <c r="D2" s="186" t="s">
        <v>58</v>
      </c>
      <c r="E2" s="191">
        <v>0.3</v>
      </c>
      <c r="F2" t="s">
        <v>59</v>
      </c>
      <c r="G2" s="12">
        <v>0.5625</v>
      </c>
      <c r="H2" t="s">
        <v>60</v>
      </c>
      <c r="I2" s="12">
        <v>1</v>
      </c>
      <c r="J2" t="s">
        <v>1273</v>
      </c>
      <c r="K2" s="12">
        <v>1</v>
      </c>
      <c r="L2" t="s">
        <v>60</v>
      </c>
      <c r="M2" s="12">
        <v>1</v>
      </c>
      <c r="N2" t="s">
        <v>60</v>
      </c>
      <c r="O2" s="12">
        <v>1</v>
      </c>
      <c r="P2" t="s">
        <v>60</v>
      </c>
      <c r="Q2" s="12">
        <v>1</v>
      </c>
      <c r="R2" t="s">
        <v>61</v>
      </c>
      <c r="S2" s="12">
        <v>1</v>
      </c>
      <c r="T2" t="s">
        <v>69</v>
      </c>
      <c r="U2" s="12">
        <v>1</v>
      </c>
      <c r="V2" t="s">
        <v>62</v>
      </c>
      <c r="W2" s="12" t="s">
        <v>58</v>
      </c>
      <c r="X2" t="s">
        <v>63</v>
      </c>
      <c r="Y2" s="12">
        <v>1</v>
      </c>
      <c r="Z2" s="1">
        <v>1000000</v>
      </c>
      <c r="AA2" s="12">
        <v>0.8</v>
      </c>
      <c r="AB2" s="2">
        <v>1000</v>
      </c>
      <c r="AC2" s="12" t="s">
        <v>58</v>
      </c>
      <c r="AD2" s="2">
        <v>1000</v>
      </c>
      <c r="AE2" s="12">
        <v>1</v>
      </c>
      <c r="AF2" t="s">
        <v>62</v>
      </c>
      <c r="AG2" s="12">
        <v>0.01</v>
      </c>
      <c r="AH2" t="s">
        <v>62</v>
      </c>
      <c r="AJ2" t="s">
        <v>1289</v>
      </c>
      <c r="AK2">
        <v>7500</v>
      </c>
      <c r="AL2">
        <f t="shared" ref="AL2:AL6" si="0">AL3+0.005</f>
        <v>1.0299999999999994</v>
      </c>
      <c r="AM2" s="24" t="s">
        <v>1289</v>
      </c>
      <c r="AN2">
        <v>0</v>
      </c>
      <c r="AP2">
        <v>5000</v>
      </c>
      <c r="AQ2">
        <f t="shared" ref="AQ2:AQ7" si="1">AQ3+0.005</f>
        <v>1.0349999999999993</v>
      </c>
      <c r="AR2" s="1">
        <v>1000</v>
      </c>
      <c r="AS2" s="74">
        <v>1.35</v>
      </c>
      <c r="AT2" s="74">
        <v>1.35</v>
      </c>
      <c r="AU2" s="74">
        <v>1.3163</v>
      </c>
      <c r="AV2" s="74">
        <v>1.2833000000000001</v>
      </c>
      <c r="AW2" s="74">
        <v>1.2513000000000001</v>
      </c>
      <c r="AX2" s="74">
        <v>1.22</v>
      </c>
      <c r="AY2" s="74">
        <v>1.1895</v>
      </c>
      <c r="AZ2" s="74">
        <v>1.1776</v>
      </c>
      <c r="BA2" s="74">
        <v>1.1657999999999999</v>
      </c>
      <c r="BB2" s="74">
        <v>1.1599999999999999</v>
      </c>
      <c r="BC2" s="75">
        <v>1.1541999999999999</v>
      </c>
      <c r="BD2" s="1">
        <v>0</v>
      </c>
      <c r="BE2" s="127">
        <v>1</v>
      </c>
      <c r="BF2" s="15">
        <v>50</v>
      </c>
      <c r="BG2" s="15">
        <v>100</v>
      </c>
      <c r="BH2">
        <v>50</v>
      </c>
      <c r="BI2" s="12">
        <v>1</v>
      </c>
      <c r="BJ2" s="6">
        <v>0</v>
      </c>
      <c r="BK2">
        <v>0</v>
      </c>
      <c r="BL2">
        <v>0</v>
      </c>
      <c r="BM2" s="18">
        <v>0</v>
      </c>
      <c r="BN2">
        <v>1</v>
      </c>
      <c r="BO2" s="18" t="s">
        <v>62</v>
      </c>
      <c r="BP2" s="12">
        <v>1.1499999999999999</v>
      </c>
      <c r="BQ2" t="s">
        <v>1295</v>
      </c>
      <c r="BR2" s="224">
        <v>1</v>
      </c>
      <c r="BS2" s="224" t="s">
        <v>1311</v>
      </c>
      <c r="BT2" s="224">
        <v>1</v>
      </c>
      <c r="BU2" s="228">
        <v>1</v>
      </c>
      <c r="BV2" s="24" t="s">
        <v>69</v>
      </c>
      <c r="BW2" s="51">
        <v>1</v>
      </c>
    </row>
    <row r="3" spans="1:75" x14ac:dyDescent="0.25">
      <c r="A3" t="s">
        <v>64</v>
      </c>
      <c r="B3" s="12">
        <v>0.9</v>
      </c>
      <c r="C3" s="18" t="s">
        <v>1283</v>
      </c>
      <c r="D3" s="187">
        <v>1.5E-3</v>
      </c>
      <c r="E3" s="192">
        <v>1</v>
      </c>
      <c r="F3" t="s">
        <v>65</v>
      </c>
      <c r="G3" s="12">
        <v>0.6875</v>
      </c>
      <c r="H3" t="s">
        <v>66</v>
      </c>
      <c r="I3" s="12">
        <f>I2+0.0025</f>
        <v>1.0024999999999999</v>
      </c>
      <c r="J3" t="s">
        <v>60</v>
      </c>
      <c r="K3" s="12">
        <f>K2+0.025</f>
        <v>1.0249999999999999</v>
      </c>
      <c r="L3" t="s">
        <v>67</v>
      </c>
      <c r="M3" s="12">
        <f>M2+0.0025</f>
        <v>1.0024999999999999</v>
      </c>
      <c r="N3" t="s">
        <v>67</v>
      </c>
      <c r="O3" s="12">
        <v>1.0024999999999999</v>
      </c>
      <c r="P3" t="s">
        <v>67</v>
      </c>
      <c r="Q3" s="12">
        <v>1.0024999999999999</v>
      </c>
      <c r="R3" t="s">
        <v>68</v>
      </c>
      <c r="S3" s="12">
        <f>S2+0.0025</f>
        <v>1.0024999999999999</v>
      </c>
      <c r="T3" t="s">
        <v>1292</v>
      </c>
      <c r="U3" s="12">
        <v>1.25</v>
      </c>
      <c r="V3" t="s">
        <v>69</v>
      </c>
      <c r="W3" s="12">
        <v>1</v>
      </c>
      <c r="X3" t="s">
        <v>70</v>
      </c>
      <c r="Y3" s="12" t="s">
        <v>58</v>
      </c>
      <c r="Z3" s="1">
        <v>2000000</v>
      </c>
      <c r="AA3" s="12">
        <v>1</v>
      </c>
      <c r="AB3" s="2">
        <v>2500</v>
      </c>
      <c r="AC3" s="12">
        <f t="shared" ref="AC3:AC9" si="2">AC4+0.025</f>
        <v>1.1999999999999993</v>
      </c>
      <c r="AD3" s="2">
        <v>2500</v>
      </c>
      <c r="AE3" s="12">
        <v>0.9</v>
      </c>
      <c r="AF3" t="s">
        <v>69</v>
      </c>
      <c r="AG3" s="12">
        <v>0.01</v>
      </c>
      <c r="AH3" t="s">
        <v>69</v>
      </c>
      <c r="AJ3">
        <v>25000</v>
      </c>
      <c r="AK3">
        <v>10000</v>
      </c>
      <c r="AL3">
        <f t="shared" si="0"/>
        <v>1.0249999999999995</v>
      </c>
      <c r="AM3" s="124">
        <v>25000</v>
      </c>
      <c r="AN3">
        <v>75</v>
      </c>
      <c r="AP3">
        <v>7500</v>
      </c>
      <c r="AQ3">
        <f t="shared" si="1"/>
        <v>1.0299999999999994</v>
      </c>
      <c r="AR3" s="1">
        <v>2500</v>
      </c>
      <c r="AS3" s="74">
        <v>1.2</v>
      </c>
      <c r="AT3" s="74">
        <v>1.2</v>
      </c>
      <c r="AU3" s="74">
        <v>1.194</v>
      </c>
      <c r="AV3" s="74">
        <v>1.1879999999999999</v>
      </c>
      <c r="AW3" s="74">
        <v>1.1820999999999999</v>
      </c>
      <c r="AX3" s="74">
        <v>1.1761999999999999</v>
      </c>
      <c r="AY3" s="74">
        <v>1.1702999999999999</v>
      </c>
      <c r="AZ3" s="74">
        <v>1.1644000000000001</v>
      </c>
      <c r="BA3" s="74">
        <v>1.1586000000000001</v>
      </c>
      <c r="BB3" s="74">
        <v>1.1528</v>
      </c>
      <c r="BC3" s="75">
        <v>1.1471</v>
      </c>
      <c r="BD3" s="1">
        <v>2500000</v>
      </c>
      <c r="BE3" s="127">
        <v>0.98970000000000002</v>
      </c>
      <c r="BH3">
        <v>100</v>
      </c>
      <c r="BI3" s="12">
        <v>0.95</v>
      </c>
      <c r="BJ3" s="6">
        <v>1000000</v>
      </c>
      <c r="BK3">
        <v>350</v>
      </c>
      <c r="BL3">
        <v>600</v>
      </c>
      <c r="BM3" s="18">
        <v>16</v>
      </c>
      <c r="BN3">
        <v>0.9</v>
      </c>
      <c r="BO3" s="18" t="s">
        <v>69</v>
      </c>
      <c r="BP3" s="12">
        <v>1</v>
      </c>
      <c r="BQ3" t="s">
        <v>1296</v>
      </c>
      <c r="BR3" s="224">
        <f>BR2+0.025</f>
        <v>1.0249999999999999</v>
      </c>
      <c r="BS3" s="224" t="s">
        <v>1312</v>
      </c>
      <c r="BT3" s="224">
        <v>1.5</v>
      </c>
      <c r="BU3" s="227">
        <v>0.95</v>
      </c>
      <c r="BV3" s="24" t="s">
        <v>62</v>
      </c>
      <c r="BW3" s="51">
        <v>1.25</v>
      </c>
    </row>
    <row r="4" spans="1:75" x14ac:dyDescent="0.25">
      <c r="A4" t="s">
        <v>71</v>
      </c>
      <c r="B4" s="12">
        <v>1.25</v>
      </c>
      <c r="C4" s="18" t="s">
        <v>1293</v>
      </c>
      <c r="D4" s="187" t="s">
        <v>58</v>
      </c>
      <c r="E4" s="192">
        <v>1</v>
      </c>
      <c r="F4" t="s">
        <v>72</v>
      </c>
      <c r="G4" s="12">
        <v>0.6875</v>
      </c>
      <c r="H4" t="s">
        <v>73</v>
      </c>
      <c r="I4" s="12">
        <f t="shared" ref="I4:I9" si="3">I3+0.0025</f>
        <v>1.0049999999999999</v>
      </c>
      <c r="J4" t="s">
        <v>67</v>
      </c>
      <c r="K4" s="12">
        <f t="shared" ref="K4:K6" si="4">K3+0.025</f>
        <v>1.0499999999999998</v>
      </c>
      <c r="L4" t="s">
        <v>66</v>
      </c>
      <c r="M4" s="12">
        <f t="shared" ref="M4:M9" si="5">M3+0.0025</f>
        <v>1.0049999999999999</v>
      </c>
      <c r="N4" t="s">
        <v>66</v>
      </c>
      <c r="O4" s="12">
        <v>1.0049999999999999</v>
      </c>
      <c r="P4" t="s">
        <v>66</v>
      </c>
      <c r="Q4" s="12">
        <v>1.0049999999999999</v>
      </c>
      <c r="R4" t="s">
        <v>74</v>
      </c>
      <c r="S4" s="12">
        <f t="shared" ref="S4:S6" si="6">S3+0.0025</f>
        <v>1.0049999999999999</v>
      </c>
      <c r="T4" t="s">
        <v>62</v>
      </c>
      <c r="U4" s="12" t="s">
        <v>58</v>
      </c>
      <c r="Z4" s="1">
        <v>3000000</v>
      </c>
      <c r="AA4" s="12">
        <v>1.1000000000000001</v>
      </c>
      <c r="AB4" s="2">
        <v>5000</v>
      </c>
      <c r="AC4" s="12">
        <f t="shared" si="2"/>
        <v>1.1749999999999994</v>
      </c>
      <c r="AD4" s="2">
        <v>5000</v>
      </c>
      <c r="AE4" s="12">
        <v>0.85</v>
      </c>
      <c r="AJ4">
        <v>50000</v>
      </c>
      <c r="AK4">
        <v>12500</v>
      </c>
      <c r="AL4">
        <f t="shared" si="0"/>
        <v>1.0199999999999996</v>
      </c>
      <c r="AM4" s="123">
        <v>50000</v>
      </c>
      <c r="AN4">
        <v>100</v>
      </c>
      <c r="AP4">
        <v>10000</v>
      </c>
      <c r="AQ4">
        <f t="shared" si="1"/>
        <v>1.0249999999999995</v>
      </c>
      <c r="AR4" s="1">
        <v>5000</v>
      </c>
      <c r="AS4" s="74">
        <v>1.1000000000000001</v>
      </c>
      <c r="AT4" s="74">
        <v>1.1000000000000001</v>
      </c>
      <c r="AU4" s="74">
        <v>1.1000000000000001</v>
      </c>
      <c r="AV4" s="74">
        <v>1.1000000000000001</v>
      </c>
      <c r="AW4" s="74">
        <v>1.1000000000000001</v>
      </c>
      <c r="AX4" s="74">
        <v>1.1000000000000001</v>
      </c>
      <c r="AY4" s="74">
        <v>1.1000000000000001</v>
      </c>
      <c r="AZ4" s="74">
        <v>1.1000000000000001</v>
      </c>
      <c r="BA4" s="74">
        <v>1.1000000000000001</v>
      </c>
      <c r="BB4" s="74">
        <v>1.1000000000000001</v>
      </c>
      <c r="BC4" s="75">
        <v>1.1000000000000001</v>
      </c>
      <c r="BD4" s="1">
        <v>5000000</v>
      </c>
      <c r="BE4" s="127">
        <f>BE3-0.0103</f>
        <v>0.97940000000000005</v>
      </c>
      <c r="BH4">
        <v>150</v>
      </c>
      <c r="BI4" s="12">
        <v>0.92500000000000004</v>
      </c>
      <c r="BJ4" s="6">
        <v>2000000</v>
      </c>
      <c r="BK4">
        <v>350</v>
      </c>
      <c r="BL4">
        <v>700</v>
      </c>
      <c r="BM4" s="18">
        <v>31</v>
      </c>
      <c r="BN4">
        <v>0.8</v>
      </c>
      <c r="BQ4" t="s">
        <v>1297</v>
      </c>
      <c r="BR4" s="224">
        <f t="shared" ref="BR4:BR5" si="7">BR3+0.025</f>
        <v>1.0499999999999998</v>
      </c>
      <c r="BS4" s="224" t="s">
        <v>1313</v>
      </c>
      <c r="BT4" s="224">
        <v>2</v>
      </c>
      <c r="BU4" s="227">
        <v>0.9</v>
      </c>
    </row>
    <row r="5" spans="1:75" x14ac:dyDescent="0.25">
      <c r="A5" t="s">
        <v>75</v>
      </c>
      <c r="B5" s="12">
        <v>1.1000000000000001</v>
      </c>
      <c r="C5" s="18" t="s">
        <v>1284</v>
      </c>
      <c r="D5" s="186">
        <v>1.9E-3</v>
      </c>
      <c r="E5" s="191">
        <v>1</v>
      </c>
      <c r="F5" t="s">
        <v>77</v>
      </c>
      <c r="G5" s="12">
        <v>0.6875</v>
      </c>
      <c r="H5" t="s">
        <v>78</v>
      </c>
      <c r="I5" s="12">
        <f t="shared" si="3"/>
        <v>1.0074999999999998</v>
      </c>
      <c r="J5" t="s">
        <v>66</v>
      </c>
      <c r="K5" s="12">
        <f t="shared" si="4"/>
        <v>1.0749999999999997</v>
      </c>
      <c r="L5" t="s">
        <v>73</v>
      </c>
      <c r="M5" s="12">
        <f t="shared" si="5"/>
        <v>1.0074999999999998</v>
      </c>
      <c r="N5" t="s">
        <v>73</v>
      </c>
      <c r="O5" s="12">
        <v>1.0074999999999998</v>
      </c>
      <c r="P5" t="s">
        <v>73</v>
      </c>
      <c r="Q5" s="12">
        <v>1.0074999999999998</v>
      </c>
      <c r="R5" t="s">
        <v>79</v>
      </c>
      <c r="S5" s="12">
        <f t="shared" si="6"/>
        <v>1.0074999999999998</v>
      </c>
      <c r="Z5" s="1">
        <v>4000000</v>
      </c>
      <c r="AA5" s="12">
        <v>1.1499999999999999</v>
      </c>
      <c r="AB5" s="2">
        <v>7500</v>
      </c>
      <c r="AC5" s="12">
        <f t="shared" si="2"/>
        <v>1.1499999999999995</v>
      </c>
      <c r="AD5" s="2">
        <v>7500</v>
      </c>
      <c r="AE5" s="12">
        <v>0.82499999999999996</v>
      </c>
      <c r="AJ5">
        <v>100000</v>
      </c>
      <c r="AK5">
        <v>15000</v>
      </c>
      <c r="AL5">
        <f t="shared" si="0"/>
        <v>1.0149999999999997</v>
      </c>
      <c r="AM5" s="123">
        <v>100000</v>
      </c>
      <c r="AN5">
        <v>150</v>
      </c>
      <c r="AP5">
        <v>12500</v>
      </c>
      <c r="AQ5">
        <f t="shared" si="1"/>
        <v>1.0199999999999996</v>
      </c>
      <c r="AR5" s="1">
        <v>7500</v>
      </c>
      <c r="AS5" s="74">
        <v>1.05</v>
      </c>
      <c r="AT5" s="74">
        <v>1.05</v>
      </c>
      <c r="AU5" s="74">
        <v>1.05</v>
      </c>
      <c r="AV5" s="74">
        <v>1.05</v>
      </c>
      <c r="AW5" s="74">
        <v>1.05</v>
      </c>
      <c r="AX5" s="74">
        <v>1.05</v>
      </c>
      <c r="AY5" s="74">
        <v>1.05</v>
      </c>
      <c r="AZ5" s="74">
        <v>1.05</v>
      </c>
      <c r="BA5" s="74">
        <v>1.05</v>
      </c>
      <c r="BB5" s="74">
        <v>1.05</v>
      </c>
      <c r="BC5" s="75">
        <v>1.05</v>
      </c>
      <c r="BD5" s="1">
        <v>7500000</v>
      </c>
      <c r="BE5" s="127">
        <f>BE4-0.0103</f>
        <v>0.96910000000000007</v>
      </c>
      <c r="BH5">
        <v>250</v>
      </c>
      <c r="BI5" s="12">
        <v>0.9</v>
      </c>
      <c r="BJ5" s="6">
        <v>3000000</v>
      </c>
      <c r="BK5">
        <v>400</v>
      </c>
      <c r="BL5">
        <v>800</v>
      </c>
      <c r="BM5" s="18">
        <v>99999</v>
      </c>
      <c r="BN5">
        <v>0.8</v>
      </c>
      <c r="BQ5" t="s">
        <v>1298</v>
      </c>
      <c r="BR5" s="224">
        <f t="shared" si="7"/>
        <v>1.0749999999999997</v>
      </c>
      <c r="BS5" s="224" t="s">
        <v>1314</v>
      </c>
      <c r="BT5" s="224">
        <v>3</v>
      </c>
      <c r="BU5" s="227">
        <v>0.85</v>
      </c>
    </row>
    <row r="6" spans="1:75" x14ac:dyDescent="0.25">
      <c r="A6" t="s">
        <v>80</v>
      </c>
      <c r="B6" s="12">
        <v>1.25</v>
      </c>
      <c r="C6" s="18" t="s">
        <v>1285</v>
      </c>
      <c r="D6" s="186">
        <v>1.6999999999999999E-3</v>
      </c>
      <c r="E6" s="191">
        <v>1</v>
      </c>
      <c r="F6" t="s">
        <v>82</v>
      </c>
      <c r="G6" s="12">
        <v>1</v>
      </c>
      <c r="H6" t="s">
        <v>83</v>
      </c>
      <c r="I6" s="12">
        <f t="shared" si="3"/>
        <v>1.0099999999999998</v>
      </c>
      <c r="J6" t="s">
        <v>73</v>
      </c>
      <c r="K6" s="12">
        <f t="shared" si="4"/>
        <v>1.0999999999999996</v>
      </c>
      <c r="L6" t="s">
        <v>78</v>
      </c>
      <c r="M6" s="12">
        <f t="shared" si="5"/>
        <v>1.0099999999999998</v>
      </c>
      <c r="N6" t="s">
        <v>78</v>
      </c>
      <c r="O6" s="12">
        <v>1.0099999999999998</v>
      </c>
      <c r="P6" t="s">
        <v>78</v>
      </c>
      <c r="Q6" s="12">
        <v>1.0099999999999998</v>
      </c>
      <c r="R6" t="s">
        <v>69</v>
      </c>
      <c r="S6" s="12">
        <f t="shared" si="6"/>
        <v>1.0099999999999998</v>
      </c>
      <c r="Z6" s="1">
        <v>5000000</v>
      </c>
      <c r="AA6" s="12">
        <v>1.2</v>
      </c>
      <c r="AB6" s="2">
        <v>10000</v>
      </c>
      <c r="AC6" s="12">
        <f t="shared" si="2"/>
        <v>1.1249999999999996</v>
      </c>
      <c r="AD6" s="2">
        <v>10000</v>
      </c>
      <c r="AE6" s="12">
        <v>0.8</v>
      </c>
      <c r="AJ6">
        <v>150000</v>
      </c>
      <c r="AK6">
        <v>17500</v>
      </c>
      <c r="AL6">
        <f t="shared" si="0"/>
        <v>1.0099999999999998</v>
      </c>
      <c r="AM6" s="123">
        <v>150000</v>
      </c>
      <c r="AN6">
        <v>200</v>
      </c>
      <c r="AP6">
        <v>15000</v>
      </c>
      <c r="AQ6">
        <f t="shared" si="1"/>
        <v>1.0149999999999997</v>
      </c>
      <c r="AR6" s="1">
        <v>10000</v>
      </c>
      <c r="AS6" s="74">
        <v>1</v>
      </c>
      <c r="AT6" s="74">
        <v>1</v>
      </c>
      <c r="AU6" s="74">
        <v>1</v>
      </c>
      <c r="AV6" s="74">
        <v>1</v>
      </c>
      <c r="AW6" s="74">
        <v>1</v>
      </c>
      <c r="AX6" s="74">
        <v>1</v>
      </c>
      <c r="AY6" s="74">
        <v>1</v>
      </c>
      <c r="AZ6" s="74">
        <v>1</v>
      </c>
      <c r="BA6" s="74">
        <v>1</v>
      </c>
      <c r="BB6" s="74">
        <v>1</v>
      </c>
      <c r="BC6" s="75">
        <v>1</v>
      </c>
      <c r="BD6" s="1">
        <v>10000000</v>
      </c>
      <c r="BE6" s="127">
        <f>BE5-0.0103</f>
        <v>0.9588000000000001</v>
      </c>
      <c r="BH6">
        <v>350</v>
      </c>
      <c r="BI6" s="12">
        <v>0.875</v>
      </c>
      <c r="BJ6" s="6">
        <v>4000000</v>
      </c>
      <c r="BK6">
        <v>450</v>
      </c>
      <c r="BL6">
        <v>900</v>
      </c>
      <c r="BQ6" t="s">
        <v>1299</v>
      </c>
      <c r="BR6" s="224">
        <f>BR5+0.075</f>
        <v>1.1499999999999997</v>
      </c>
    </row>
    <row r="7" spans="1:75" x14ac:dyDescent="0.25">
      <c r="A7" t="s">
        <v>84</v>
      </c>
      <c r="B7" s="12">
        <v>1.25</v>
      </c>
      <c r="C7" s="18" t="s">
        <v>1321</v>
      </c>
      <c r="D7" s="186">
        <v>2.3E-3</v>
      </c>
      <c r="E7" s="191">
        <v>1</v>
      </c>
      <c r="F7" t="s">
        <v>1291</v>
      </c>
      <c r="G7" s="12">
        <v>1.2</v>
      </c>
      <c r="H7" t="s">
        <v>85</v>
      </c>
      <c r="I7" s="12">
        <f t="shared" si="3"/>
        <v>1.0124999999999997</v>
      </c>
      <c r="J7" t="s">
        <v>1274</v>
      </c>
      <c r="K7" s="12" t="s">
        <v>58</v>
      </c>
      <c r="L7" t="s">
        <v>83</v>
      </c>
      <c r="M7" s="12">
        <f t="shared" si="5"/>
        <v>1.0124999999999997</v>
      </c>
      <c r="N7" t="s">
        <v>83</v>
      </c>
      <c r="O7" s="12">
        <v>1.0124999999999997</v>
      </c>
      <c r="P7" t="s">
        <v>83</v>
      </c>
      <c r="Q7" s="12">
        <v>1.0124999999999997</v>
      </c>
      <c r="T7" t="s">
        <v>1294</v>
      </c>
      <c r="Z7" s="1">
        <v>6000000</v>
      </c>
      <c r="AA7" s="12">
        <v>1.25</v>
      </c>
      <c r="AB7" s="2">
        <v>12500</v>
      </c>
      <c r="AC7" s="12">
        <f t="shared" si="2"/>
        <v>1.0999999999999996</v>
      </c>
      <c r="AD7" s="2">
        <v>12500</v>
      </c>
      <c r="AE7" s="12">
        <f t="shared" ref="AE7:AE12" si="8">AE6-0.025</f>
        <v>0.77500000000000002</v>
      </c>
      <c r="AJ7">
        <v>250000</v>
      </c>
      <c r="AK7">
        <v>20000</v>
      </c>
      <c r="AL7">
        <f>AL8+0.005</f>
        <v>1.0049999999999999</v>
      </c>
      <c r="AM7" s="123">
        <v>250000</v>
      </c>
      <c r="AN7">
        <v>250</v>
      </c>
      <c r="AP7">
        <v>17500</v>
      </c>
      <c r="AQ7">
        <f t="shared" si="1"/>
        <v>1.0099999999999998</v>
      </c>
      <c r="AR7" s="1">
        <v>12500</v>
      </c>
      <c r="AS7" s="74">
        <v>0.98499999999999999</v>
      </c>
      <c r="AT7" s="74">
        <v>0.98499999999999999</v>
      </c>
      <c r="AU7" s="74">
        <v>0.98750000000000004</v>
      </c>
      <c r="AV7" s="74">
        <v>0.98750000000000004</v>
      </c>
      <c r="AW7" s="74">
        <v>0.9899</v>
      </c>
      <c r="AX7" s="74">
        <v>0.9899</v>
      </c>
      <c r="AY7" s="74">
        <v>0.9899</v>
      </c>
      <c r="AZ7" s="74">
        <v>0.9899</v>
      </c>
      <c r="BA7" s="74">
        <v>0.9899</v>
      </c>
      <c r="BB7" s="74">
        <v>0.9899</v>
      </c>
      <c r="BC7" s="75">
        <v>0.9899</v>
      </c>
      <c r="BD7" s="1">
        <v>20000000</v>
      </c>
      <c r="BE7" s="127">
        <f>BE6-0.0103</f>
        <v>0.94850000000000012</v>
      </c>
      <c r="BH7">
        <v>450</v>
      </c>
      <c r="BI7" s="12">
        <v>0.85</v>
      </c>
      <c r="BJ7" s="6">
        <v>5000000</v>
      </c>
      <c r="BK7">
        <v>500</v>
      </c>
      <c r="BL7">
        <v>1000</v>
      </c>
      <c r="BQ7" t="s">
        <v>1300</v>
      </c>
      <c r="BR7" s="224">
        <f t="shared" ref="BR7:BR8" si="9">BR6+0.075</f>
        <v>1.2249999999999996</v>
      </c>
    </row>
    <row r="8" spans="1:75" x14ac:dyDescent="0.25">
      <c r="A8" t="s">
        <v>86</v>
      </c>
      <c r="B8" s="12">
        <v>1.25</v>
      </c>
      <c r="C8" s="193" t="s">
        <v>1308</v>
      </c>
      <c r="D8" s="186">
        <v>2E-3</v>
      </c>
      <c r="E8" s="191">
        <v>1</v>
      </c>
      <c r="H8" t="s">
        <v>87</v>
      </c>
      <c r="I8" s="12">
        <f t="shared" si="3"/>
        <v>1.0149999999999997</v>
      </c>
      <c r="L8" t="s">
        <v>85</v>
      </c>
      <c r="M8" s="12">
        <f t="shared" si="5"/>
        <v>1.0149999999999997</v>
      </c>
      <c r="N8" t="s">
        <v>85</v>
      </c>
      <c r="O8" s="12">
        <v>1.0149999999999997</v>
      </c>
      <c r="P8" t="s">
        <v>85</v>
      </c>
      <c r="Q8" s="12">
        <v>1.0149999999999997</v>
      </c>
      <c r="Z8" s="1">
        <v>7000000</v>
      </c>
      <c r="AA8" s="12">
        <v>1.3</v>
      </c>
      <c r="AB8" s="2">
        <v>15000</v>
      </c>
      <c r="AC8" s="12">
        <f t="shared" si="2"/>
        <v>1.0749999999999997</v>
      </c>
      <c r="AD8" s="2">
        <v>15000</v>
      </c>
      <c r="AE8" s="12">
        <f t="shared" si="8"/>
        <v>0.75</v>
      </c>
      <c r="AJ8">
        <v>500000</v>
      </c>
      <c r="AK8">
        <v>25000</v>
      </c>
      <c r="AL8">
        <v>1</v>
      </c>
      <c r="AM8" s="123">
        <v>500000</v>
      </c>
      <c r="AN8">
        <v>350</v>
      </c>
      <c r="AP8">
        <v>20000</v>
      </c>
      <c r="AQ8">
        <f>AQ9+0.005</f>
        <v>1.0049999999999999</v>
      </c>
      <c r="AR8" s="1">
        <v>15000</v>
      </c>
      <c r="AS8" s="74">
        <v>0.97</v>
      </c>
      <c r="AT8" s="74">
        <v>0.97</v>
      </c>
      <c r="AU8" s="74">
        <v>0.97489999999999999</v>
      </c>
      <c r="AV8" s="74">
        <v>0.97529999999999994</v>
      </c>
      <c r="AW8" s="74">
        <v>0.9758</v>
      </c>
      <c r="AX8" s="74">
        <v>0.97629999999999995</v>
      </c>
      <c r="AY8" s="74">
        <v>0.9768</v>
      </c>
      <c r="AZ8" s="74">
        <v>0.98170000000000002</v>
      </c>
      <c r="BA8" s="74">
        <v>0.98660000000000003</v>
      </c>
      <c r="BB8" s="74">
        <v>0.98660000000000003</v>
      </c>
      <c r="BC8" s="75">
        <v>0.98660000000000003</v>
      </c>
      <c r="BD8" s="1">
        <v>50000000</v>
      </c>
      <c r="BE8" s="127">
        <f>BE7-0.0103</f>
        <v>0.93820000000000014</v>
      </c>
      <c r="BH8">
        <v>500</v>
      </c>
      <c r="BI8" s="12">
        <v>0.8</v>
      </c>
      <c r="BJ8" s="6">
        <v>10000000</v>
      </c>
      <c r="BK8">
        <v>650</v>
      </c>
      <c r="BL8" t="s">
        <v>58</v>
      </c>
      <c r="BQ8" t="s">
        <v>1301</v>
      </c>
      <c r="BR8" s="224">
        <f t="shared" si="9"/>
        <v>1.2999999999999996</v>
      </c>
    </row>
    <row r="9" spans="1:75" x14ac:dyDescent="0.25">
      <c r="A9" t="s">
        <v>88</v>
      </c>
      <c r="B9" s="12">
        <v>1.25</v>
      </c>
      <c r="C9" s="193" t="s">
        <v>1309</v>
      </c>
      <c r="D9" s="186">
        <v>1.8E-3</v>
      </c>
      <c r="E9" s="191">
        <v>1</v>
      </c>
      <c r="H9" t="s">
        <v>89</v>
      </c>
      <c r="I9" s="12">
        <f t="shared" si="3"/>
        <v>1.0174999999999996</v>
      </c>
      <c r="L9" t="s">
        <v>87</v>
      </c>
      <c r="M9" s="12">
        <f t="shared" si="5"/>
        <v>1.0174999999999996</v>
      </c>
      <c r="N9" t="s">
        <v>87</v>
      </c>
      <c r="O9" s="12">
        <v>1.0174999999999996</v>
      </c>
      <c r="P9" t="s">
        <v>87</v>
      </c>
      <c r="Q9" s="12">
        <v>1.0174999999999996</v>
      </c>
      <c r="Z9" s="1">
        <v>8000000</v>
      </c>
      <c r="AA9" s="12">
        <v>1.35</v>
      </c>
      <c r="AB9" s="2">
        <v>17500</v>
      </c>
      <c r="AC9" s="12">
        <f t="shared" si="2"/>
        <v>1.0499999999999998</v>
      </c>
      <c r="AD9" s="2">
        <v>17500</v>
      </c>
      <c r="AE9" s="12">
        <f t="shared" si="8"/>
        <v>0.72499999999999998</v>
      </c>
      <c r="AJ9">
        <v>1000000</v>
      </c>
      <c r="AK9">
        <v>50000</v>
      </c>
      <c r="AL9">
        <v>0.9</v>
      </c>
      <c r="AM9" s="123">
        <v>1000000</v>
      </c>
      <c r="AN9">
        <v>450</v>
      </c>
      <c r="AP9">
        <v>25000</v>
      </c>
      <c r="AQ9">
        <v>1</v>
      </c>
      <c r="AR9" s="1">
        <v>20000</v>
      </c>
      <c r="AS9" s="74">
        <v>0.95499999999999996</v>
      </c>
      <c r="AT9" s="74">
        <v>0.95499999999999996</v>
      </c>
      <c r="AU9" s="74">
        <v>0.95979999999999999</v>
      </c>
      <c r="AV9" s="74">
        <v>0.96030000000000004</v>
      </c>
      <c r="AW9" s="74">
        <v>0.9607</v>
      </c>
      <c r="AX9" s="74">
        <v>0.96120000000000005</v>
      </c>
      <c r="AY9" s="74">
        <v>0.9617</v>
      </c>
      <c r="AZ9" s="74">
        <v>0.96650000000000003</v>
      </c>
      <c r="BA9" s="74">
        <v>0.97130000000000005</v>
      </c>
      <c r="BB9" s="74">
        <v>0.97619999999999996</v>
      </c>
      <c r="BC9" s="75">
        <v>0.98109999999999997</v>
      </c>
      <c r="BQ9" t="s">
        <v>1302</v>
      </c>
      <c r="BR9" s="224">
        <f>BR8+0.15</f>
        <v>1.4499999999999995</v>
      </c>
    </row>
    <row r="10" spans="1:75" x14ac:dyDescent="0.25">
      <c r="A10" t="s">
        <v>91</v>
      </c>
      <c r="B10" s="12">
        <v>0.875</v>
      </c>
      <c r="C10" s="193" t="s">
        <v>1322</v>
      </c>
      <c r="D10" s="186">
        <v>2.3999999999999998E-3</v>
      </c>
      <c r="E10" s="191">
        <v>1</v>
      </c>
      <c r="H10" t="s">
        <v>93</v>
      </c>
      <c r="I10" s="12">
        <f>I9+0.05</f>
        <v>1.0674999999999997</v>
      </c>
      <c r="L10" t="s">
        <v>94</v>
      </c>
      <c r="M10" s="12" t="s">
        <v>58</v>
      </c>
      <c r="N10" t="s">
        <v>94</v>
      </c>
      <c r="O10" s="12" t="s">
        <v>58</v>
      </c>
      <c r="P10" t="s">
        <v>94</v>
      </c>
      <c r="Q10" s="12" t="s">
        <v>58</v>
      </c>
      <c r="Z10" s="1">
        <v>9000000</v>
      </c>
      <c r="AA10" s="12">
        <v>1.4</v>
      </c>
      <c r="AB10" s="2">
        <v>20000</v>
      </c>
      <c r="AC10" s="12">
        <f>AC11+0.025</f>
        <v>1.0249999999999999</v>
      </c>
      <c r="AD10" s="2">
        <v>20000</v>
      </c>
      <c r="AE10" s="12">
        <f t="shared" si="8"/>
        <v>0.7</v>
      </c>
      <c r="AJ10" t="s">
        <v>90</v>
      </c>
      <c r="AM10" s="24" t="s">
        <v>90</v>
      </c>
      <c r="AN10" s="120">
        <f>MAX(SUM(Main!D27:D29)*0.0001, 500)</f>
        <v>500</v>
      </c>
      <c r="AO10" s="82">
        <v>1E-4</v>
      </c>
      <c r="AP10">
        <v>50000</v>
      </c>
      <c r="AQ10">
        <v>0.9</v>
      </c>
      <c r="AR10" s="1">
        <v>25000</v>
      </c>
      <c r="AS10" s="74">
        <v>0.94</v>
      </c>
      <c r="AT10" s="74">
        <v>0.94</v>
      </c>
      <c r="AU10" s="74">
        <v>0.94469999999999998</v>
      </c>
      <c r="AV10" s="74">
        <v>0.94940000000000002</v>
      </c>
      <c r="AW10" s="74">
        <v>0.95420000000000005</v>
      </c>
      <c r="AX10" s="74">
        <v>0.95889999999999997</v>
      </c>
      <c r="AY10" s="74">
        <v>0.96279999999999999</v>
      </c>
      <c r="AZ10" s="74">
        <v>0.9647</v>
      </c>
      <c r="BA10" s="74">
        <v>0.96950000000000003</v>
      </c>
      <c r="BB10" s="74">
        <v>0.97440000000000004</v>
      </c>
      <c r="BC10" s="75">
        <v>0.97919999999999996</v>
      </c>
      <c r="BQ10" t="s">
        <v>1303</v>
      </c>
      <c r="BR10" s="224">
        <f t="shared" ref="BR10:BR11" si="10">BR9+0.15</f>
        <v>1.5999999999999994</v>
      </c>
    </row>
    <row r="11" spans="1:75" x14ac:dyDescent="0.25">
      <c r="A11" t="s">
        <v>95</v>
      </c>
      <c r="B11" s="12">
        <v>1.25</v>
      </c>
      <c r="C11" s="190" t="s">
        <v>76</v>
      </c>
      <c r="D11" s="186">
        <v>2.2000000000000001E-3</v>
      </c>
      <c r="E11" s="191">
        <v>0.6</v>
      </c>
      <c r="H11" t="s">
        <v>97</v>
      </c>
      <c r="I11" s="12">
        <f>I10+0.05</f>
        <v>1.1174999999999997</v>
      </c>
      <c r="Z11" s="1">
        <v>10000000</v>
      </c>
      <c r="AA11" s="12">
        <v>1.45</v>
      </c>
      <c r="AB11" s="2">
        <v>25000</v>
      </c>
      <c r="AC11" s="12">
        <v>1</v>
      </c>
      <c r="AD11" s="2">
        <v>25000</v>
      </c>
      <c r="AE11" s="12">
        <f t="shared" si="8"/>
        <v>0.67499999999999993</v>
      </c>
      <c r="AM11" s="24"/>
      <c r="AN11" s="119"/>
      <c r="AR11" s="1">
        <v>30000</v>
      </c>
      <c r="AS11" s="74">
        <v>0.93</v>
      </c>
      <c r="AT11" s="74">
        <v>0.93</v>
      </c>
      <c r="AU11" s="74">
        <v>0.93469999999999998</v>
      </c>
      <c r="AV11" s="74">
        <v>0.93930000000000002</v>
      </c>
      <c r="AW11" s="74">
        <v>0.94399999999999995</v>
      </c>
      <c r="AX11" s="74">
        <v>0.94869999999999999</v>
      </c>
      <c r="AY11" s="74">
        <v>0.95350000000000001</v>
      </c>
      <c r="AZ11" s="74">
        <v>0.95830000000000004</v>
      </c>
      <c r="BA11" s="74">
        <v>0.96299999999999997</v>
      </c>
      <c r="BB11" s="74">
        <v>0.96789999999999998</v>
      </c>
      <c r="BC11" s="75">
        <v>0.97270000000000001</v>
      </c>
      <c r="BJ11" s="6"/>
      <c r="BQ11" t="s">
        <v>1304</v>
      </c>
      <c r="BR11" s="224">
        <f t="shared" si="10"/>
        <v>1.7499999999999993</v>
      </c>
    </row>
    <row r="12" spans="1:75" x14ac:dyDescent="0.25">
      <c r="A12" t="s">
        <v>98</v>
      </c>
      <c r="B12" s="12">
        <v>1</v>
      </c>
      <c r="C12" s="190" t="s">
        <v>81</v>
      </c>
      <c r="D12" s="186">
        <v>2.0999999999999999E-3</v>
      </c>
      <c r="E12" s="191">
        <v>0.65</v>
      </c>
      <c r="H12" t="s">
        <v>100</v>
      </c>
      <c r="I12" s="12">
        <f>I11+0.01</f>
        <v>1.1274999999999997</v>
      </c>
      <c r="AB12" s="2">
        <v>50000</v>
      </c>
      <c r="AC12" s="12">
        <f>AC11-0.005</f>
        <v>0.995</v>
      </c>
      <c r="AD12" s="2">
        <v>50000</v>
      </c>
      <c r="AE12" s="12">
        <f t="shared" si="8"/>
        <v>0.64999999999999991</v>
      </c>
      <c r="AR12" s="1">
        <v>35000</v>
      </c>
      <c r="AS12" s="74">
        <v>0.92</v>
      </c>
      <c r="AT12" s="74">
        <v>0.92</v>
      </c>
      <c r="AU12" s="74">
        <v>0.92459999999999998</v>
      </c>
      <c r="AV12" s="74">
        <v>0.92920000000000003</v>
      </c>
      <c r="AW12" s="74">
        <v>0.93389999999999995</v>
      </c>
      <c r="AX12" s="74">
        <v>0.9385</v>
      </c>
      <c r="AY12" s="74">
        <v>0.94320000000000004</v>
      </c>
      <c r="AZ12" s="74">
        <v>0.94789999999999996</v>
      </c>
      <c r="BA12" s="74">
        <v>0.95269999999999999</v>
      </c>
      <c r="BB12" s="74">
        <v>0.95750000000000002</v>
      </c>
      <c r="BC12" s="75">
        <v>0.96220000000000006</v>
      </c>
    </row>
    <row r="13" spans="1:75" x14ac:dyDescent="0.25">
      <c r="A13" t="s">
        <v>101</v>
      </c>
      <c r="B13" s="12">
        <v>1.25</v>
      </c>
      <c r="C13" s="190" t="s">
        <v>92</v>
      </c>
      <c r="D13" s="186">
        <v>2.5000000000000001E-3</v>
      </c>
      <c r="E13" s="191">
        <v>0.85</v>
      </c>
      <c r="AR13" s="9">
        <v>40000</v>
      </c>
      <c r="AS13" s="76">
        <v>0.91</v>
      </c>
      <c r="AT13" s="76">
        <v>0.91</v>
      </c>
      <c r="AU13" s="76">
        <v>0.91459999999999997</v>
      </c>
      <c r="AV13" s="76">
        <v>0.91910000000000003</v>
      </c>
      <c r="AW13" s="76">
        <v>0.92369999999999997</v>
      </c>
      <c r="AX13" s="76">
        <v>0.92830000000000001</v>
      </c>
      <c r="AY13" s="76">
        <v>0.93300000000000005</v>
      </c>
      <c r="AZ13" s="76">
        <v>0.93759999999999999</v>
      </c>
      <c r="BA13" s="76">
        <v>0.94230000000000003</v>
      </c>
      <c r="BB13" s="76">
        <v>0.95179999999999998</v>
      </c>
      <c r="BC13" s="75">
        <v>0.96130000000000004</v>
      </c>
    </row>
    <row r="14" spans="1:75" x14ac:dyDescent="0.25">
      <c r="A14" t="s">
        <v>103</v>
      </c>
      <c r="B14" s="12">
        <v>1.25</v>
      </c>
      <c r="C14" s="190" t="s">
        <v>96</v>
      </c>
      <c r="D14" s="186">
        <v>2.0999999999999999E-3</v>
      </c>
      <c r="E14" s="191">
        <v>0.75</v>
      </c>
      <c r="AR14" s="9">
        <v>45000</v>
      </c>
      <c r="AS14" s="76">
        <v>0.9</v>
      </c>
      <c r="AT14" s="76">
        <v>0.9</v>
      </c>
      <c r="AU14" s="76">
        <v>0.90449999999999997</v>
      </c>
      <c r="AV14" s="76">
        <v>0.90900000000000003</v>
      </c>
      <c r="AW14" s="76">
        <v>0.91359999999999997</v>
      </c>
      <c r="AX14" s="76">
        <v>0.91810000000000003</v>
      </c>
      <c r="AY14" s="76">
        <v>0.92269999999999996</v>
      </c>
      <c r="AZ14" s="76">
        <v>0.93200000000000005</v>
      </c>
      <c r="BA14" s="76">
        <v>0.94130000000000003</v>
      </c>
      <c r="BB14" s="76">
        <v>0.95069999999999999</v>
      </c>
      <c r="BC14" s="75">
        <v>0.95540000000000003</v>
      </c>
    </row>
    <row r="15" spans="1:75" x14ac:dyDescent="0.25">
      <c r="C15" s="190" t="s">
        <v>99</v>
      </c>
      <c r="D15" s="186">
        <v>2.3999999999999998E-3</v>
      </c>
      <c r="E15" s="191">
        <v>0.8</v>
      </c>
      <c r="F15" s="3"/>
      <c r="AR15" s="9">
        <v>50000</v>
      </c>
      <c r="AS15" s="76">
        <v>0.89</v>
      </c>
      <c r="AT15" s="76">
        <v>0.89</v>
      </c>
      <c r="AU15" s="76">
        <v>0.89449999999999996</v>
      </c>
      <c r="AV15" s="76">
        <v>0.89890000000000003</v>
      </c>
      <c r="AW15" s="76">
        <v>0.90339999999999998</v>
      </c>
      <c r="AX15" s="76">
        <v>0.90790000000000004</v>
      </c>
      <c r="AY15" s="76">
        <v>0.91249999999999998</v>
      </c>
      <c r="AZ15" s="76">
        <v>0.92159999999999997</v>
      </c>
      <c r="BA15" s="76">
        <v>0.93079999999999996</v>
      </c>
      <c r="BB15" s="76">
        <v>0.94010000000000005</v>
      </c>
      <c r="BC15" s="75">
        <v>0.94950000000000001</v>
      </c>
    </row>
    <row r="16" spans="1:75" x14ac:dyDescent="0.25">
      <c r="C16" s="18" t="s">
        <v>102</v>
      </c>
      <c r="D16" s="187">
        <v>1.6000000000000001E-3</v>
      </c>
      <c r="E16" s="192">
        <v>1</v>
      </c>
      <c r="AR16" s="9">
        <v>75000</v>
      </c>
      <c r="AS16" s="76">
        <v>0.88</v>
      </c>
      <c r="AT16" s="76">
        <v>0.88</v>
      </c>
      <c r="AU16" s="76">
        <v>0.88439999999999996</v>
      </c>
      <c r="AV16" s="76">
        <v>0.89319999999999999</v>
      </c>
      <c r="AW16" s="76">
        <v>0.9022</v>
      </c>
      <c r="AX16" s="76">
        <v>0.91120000000000001</v>
      </c>
      <c r="AY16" s="76">
        <v>0.92030000000000001</v>
      </c>
      <c r="AZ16" s="76">
        <v>0.92949999999999999</v>
      </c>
      <c r="BA16" s="76">
        <v>0.93879999999999997</v>
      </c>
      <c r="BB16" s="76">
        <v>0.94820000000000004</v>
      </c>
      <c r="BC16" s="75">
        <v>0.9577</v>
      </c>
    </row>
    <row r="17" spans="3:55" x14ac:dyDescent="0.25">
      <c r="C17" s="18" t="s">
        <v>104</v>
      </c>
      <c r="D17" s="187">
        <v>1.8E-3</v>
      </c>
      <c r="E17" s="192">
        <v>1</v>
      </c>
      <c r="AR17" s="9">
        <v>100000</v>
      </c>
      <c r="AS17" s="76">
        <v>0.875</v>
      </c>
      <c r="AT17" s="76">
        <v>0.875</v>
      </c>
      <c r="AU17" s="76">
        <v>0.87939999999999996</v>
      </c>
      <c r="AV17" s="76">
        <v>0.88819999999999999</v>
      </c>
      <c r="AW17" s="76">
        <v>0.89710000000000001</v>
      </c>
      <c r="AX17" s="76">
        <v>0.90600000000000003</v>
      </c>
      <c r="AY17" s="76">
        <v>0.91510000000000002</v>
      </c>
      <c r="AZ17" s="76">
        <v>0.92420000000000002</v>
      </c>
      <c r="BA17" s="76">
        <v>0.9335</v>
      </c>
      <c r="BB17" s="76">
        <v>0.94279999999999997</v>
      </c>
      <c r="BC17" s="75">
        <v>0.95220000000000005</v>
      </c>
    </row>
    <row r="18" spans="3:55" x14ac:dyDescent="0.25">
      <c r="C18" s="190" t="s">
        <v>105</v>
      </c>
      <c r="D18" s="186">
        <v>2.0999999999999999E-3</v>
      </c>
      <c r="E18" s="191">
        <v>0.3</v>
      </c>
      <c r="AR18" s="9">
        <v>125000</v>
      </c>
      <c r="AS18" s="76">
        <v>0.87</v>
      </c>
      <c r="AT18" s="76">
        <v>0.87</v>
      </c>
      <c r="AU18" s="76">
        <v>0.87439999999999996</v>
      </c>
      <c r="AV18" s="76">
        <v>0.8831</v>
      </c>
      <c r="AW18" s="76">
        <v>0.89190000000000003</v>
      </c>
      <c r="AX18" s="76">
        <v>0.90080000000000005</v>
      </c>
      <c r="AY18" s="76">
        <v>0.90990000000000004</v>
      </c>
      <c r="AZ18" s="76">
        <v>0.91900000000000004</v>
      </c>
      <c r="BA18" s="76">
        <v>0.92810000000000004</v>
      </c>
      <c r="BB18" s="76">
        <v>0.93740000000000001</v>
      </c>
      <c r="BC18" s="75">
        <v>0.94679999999999997</v>
      </c>
    </row>
    <row r="19" spans="3:55" x14ac:dyDescent="0.25">
      <c r="C19" s="190" t="s">
        <v>106</v>
      </c>
      <c r="D19" s="186">
        <v>2.3E-3</v>
      </c>
      <c r="E19" s="191">
        <v>0.7</v>
      </c>
      <c r="AR19" s="9">
        <v>150000</v>
      </c>
      <c r="AS19" s="76">
        <v>0.86499999999999999</v>
      </c>
      <c r="AT19" s="76">
        <v>0.86499999999999999</v>
      </c>
      <c r="AU19" s="76">
        <v>0.86929999999999996</v>
      </c>
      <c r="AV19" s="76">
        <v>0.878</v>
      </c>
      <c r="AW19" s="76">
        <v>0.88680000000000003</v>
      </c>
      <c r="AX19" s="76">
        <v>0.89570000000000005</v>
      </c>
      <c r="AY19" s="76">
        <v>0.90459999999999996</v>
      </c>
      <c r="AZ19" s="76">
        <v>0.91369999999999996</v>
      </c>
      <c r="BA19" s="76">
        <v>0.92279999999999995</v>
      </c>
      <c r="BB19" s="76">
        <v>0.93200000000000005</v>
      </c>
      <c r="BC19" s="75">
        <v>0.94140000000000001</v>
      </c>
    </row>
    <row r="20" spans="3:55" x14ac:dyDescent="0.25">
      <c r="C20" s="190" t="s">
        <v>107</v>
      </c>
      <c r="D20" s="186">
        <v>2.7000000000000001E-3</v>
      </c>
      <c r="E20" s="191">
        <v>0.5</v>
      </c>
      <c r="AR20" s="9">
        <v>175000</v>
      </c>
      <c r="AS20" s="76">
        <v>0.86</v>
      </c>
      <c r="AT20" s="76">
        <v>0.86</v>
      </c>
      <c r="AU20" s="76">
        <v>0.86429999999999996</v>
      </c>
      <c r="AV20" s="76">
        <v>0.87290000000000001</v>
      </c>
      <c r="AW20" s="76">
        <v>0.88170000000000004</v>
      </c>
      <c r="AX20" s="76">
        <v>0.89049999999999996</v>
      </c>
      <c r="AY20" s="76">
        <v>0.89939999999999998</v>
      </c>
      <c r="AZ20" s="76">
        <v>0.90839999999999999</v>
      </c>
      <c r="BA20" s="76">
        <v>0.91749999999999998</v>
      </c>
      <c r="BB20" s="76">
        <v>0.92659999999999998</v>
      </c>
      <c r="BC20" s="75">
        <v>0.93589999999999995</v>
      </c>
    </row>
    <row r="21" spans="3:55" x14ac:dyDescent="0.25">
      <c r="C21" s="190" t="s">
        <v>108</v>
      </c>
      <c r="D21" s="186">
        <v>1.8E-3</v>
      </c>
      <c r="E21" s="191">
        <v>0.8</v>
      </c>
      <c r="AR21" s="9">
        <v>200000</v>
      </c>
      <c r="AS21" s="76">
        <v>0.85499999999999998</v>
      </c>
      <c r="AT21" s="76">
        <v>0.85499999999999998</v>
      </c>
      <c r="AU21" s="76">
        <v>0.85929999999999995</v>
      </c>
      <c r="AV21" s="76">
        <v>0.8679</v>
      </c>
      <c r="AW21" s="76">
        <v>0.87649999999999995</v>
      </c>
      <c r="AX21" s="76">
        <v>0.88529999999999998</v>
      </c>
      <c r="AY21" s="76">
        <v>0.89419999999999999</v>
      </c>
      <c r="AZ21" s="76">
        <v>0.90310000000000001</v>
      </c>
      <c r="BA21" s="76">
        <v>0.91210000000000002</v>
      </c>
      <c r="BB21" s="76">
        <v>0.92130000000000001</v>
      </c>
      <c r="BC21" s="75">
        <v>0.93049999999999999</v>
      </c>
    </row>
    <row r="22" spans="3:55" x14ac:dyDescent="0.25">
      <c r="C22" s="190" t="s">
        <v>109</v>
      </c>
      <c r="D22" s="186">
        <v>3.0000000000000001E-3</v>
      </c>
      <c r="E22" s="191">
        <v>0.55000000000000004</v>
      </c>
      <c r="AR22" s="9">
        <v>250000</v>
      </c>
      <c r="AS22" s="76">
        <v>0.85</v>
      </c>
      <c r="AT22" s="76">
        <v>0.85</v>
      </c>
      <c r="AU22" s="76">
        <v>0.85429999999999995</v>
      </c>
      <c r="AV22" s="76">
        <v>0.86280000000000001</v>
      </c>
      <c r="AW22" s="76">
        <v>0.87139999999999995</v>
      </c>
      <c r="AX22" s="76">
        <v>0.88009999999999999</v>
      </c>
      <c r="AY22" s="76">
        <v>0.88890000000000002</v>
      </c>
      <c r="AZ22" s="76">
        <v>0.89780000000000004</v>
      </c>
      <c r="BA22" s="76">
        <v>0.90680000000000005</v>
      </c>
      <c r="BB22" s="76">
        <v>0.91590000000000005</v>
      </c>
      <c r="BC22" s="75">
        <v>0.92500000000000004</v>
      </c>
    </row>
    <row r="23" spans="3:55" x14ac:dyDescent="0.25">
      <c r="C23" s="190" t="s">
        <v>110</v>
      </c>
      <c r="D23" s="186">
        <v>2.2000000000000001E-3</v>
      </c>
      <c r="E23" s="191">
        <v>0.55000000000000004</v>
      </c>
    </row>
    <row r="24" spans="3:55" x14ac:dyDescent="0.25">
      <c r="C24" s="190" t="s">
        <v>111</v>
      </c>
      <c r="D24" s="186">
        <v>2E-3</v>
      </c>
      <c r="E24" s="191">
        <v>0.8</v>
      </c>
    </row>
    <row r="25" spans="3:55" x14ac:dyDescent="0.25">
      <c r="C25" s="190" t="s">
        <v>112</v>
      </c>
      <c r="D25" s="186">
        <v>2.2000000000000001E-3</v>
      </c>
      <c r="E25" s="191">
        <v>0.5</v>
      </c>
    </row>
    <row r="26" spans="3:55" x14ac:dyDescent="0.25">
      <c r="C26" s="194" t="s">
        <v>113</v>
      </c>
      <c r="D26" s="187">
        <v>2.3E-3</v>
      </c>
      <c r="E26" s="192">
        <v>0.6</v>
      </c>
    </row>
    <row r="27" spans="3:55" x14ac:dyDescent="0.25">
      <c r="C27" s="194" t="s">
        <v>114</v>
      </c>
      <c r="D27" s="187">
        <v>2.2000000000000001E-3</v>
      </c>
      <c r="E27" s="192">
        <v>0.65</v>
      </c>
    </row>
    <row r="28" spans="3:55" x14ac:dyDescent="0.25">
      <c r="C28" s="190" t="s">
        <v>115</v>
      </c>
      <c r="D28" s="186">
        <v>2.2000000000000001E-3</v>
      </c>
      <c r="E28" s="191">
        <v>0.6</v>
      </c>
    </row>
    <row r="29" spans="3:55" x14ac:dyDescent="0.25">
      <c r="C29" s="190" t="s">
        <v>116</v>
      </c>
      <c r="D29" s="186">
        <v>2.3E-3</v>
      </c>
      <c r="E29" s="191">
        <v>0.65</v>
      </c>
    </row>
    <row r="30" spans="3:55" x14ac:dyDescent="0.25">
      <c r="C30" s="190" t="s">
        <v>117</v>
      </c>
      <c r="D30" s="186">
        <v>1.8E-3</v>
      </c>
      <c r="E30" s="191">
        <v>0.85</v>
      </c>
    </row>
    <row r="31" spans="3:55" x14ac:dyDescent="0.25">
      <c r="C31" s="190" t="s">
        <v>118</v>
      </c>
      <c r="D31" s="186">
        <v>2.0999999999999999E-3</v>
      </c>
      <c r="E31" s="191">
        <v>0.4</v>
      </c>
    </row>
    <row r="32" spans="3:55" x14ac:dyDescent="0.25">
      <c r="C32" s="190" t="s">
        <v>119</v>
      </c>
      <c r="D32" s="186">
        <v>2.0999999999999999E-3</v>
      </c>
      <c r="E32" s="191">
        <v>0.3</v>
      </c>
    </row>
    <row r="33" spans="3:5" x14ac:dyDescent="0.25">
      <c r="C33" s="190" t="s">
        <v>120</v>
      </c>
      <c r="D33" s="186">
        <v>2.7000000000000001E-3</v>
      </c>
      <c r="E33" s="191">
        <v>0.5</v>
      </c>
    </row>
    <row r="34" spans="3:5" x14ac:dyDescent="0.25">
      <c r="C34" s="190" t="s">
        <v>121</v>
      </c>
      <c r="D34" s="186">
        <v>3.2000000000000002E-3</v>
      </c>
      <c r="E34" s="191">
        <v>0.3</v>
      </c>
    </row>
    <row r="35" spans="3:5" x14ac:dyDescent="0.25">
      <c r="C35" s="190" t="s">
        <v>122</v>
      </c>
      <c r="D35" s="186">
        <v>3.0000000000000001E-3</v>
      </c>
      <c r="E35" s="191">
        <v>0.3</v>
      </c>
    </row>
    <row r="36" spans="3:5" x14ac:dyDescent="0.25">
      <c r="C36" s="190" t="s">
        <v>123</v>
      </c>
      <c r="D36" s="186" t="s">
        <v>58</v>
      </c>
      <c r="E36" s="191">
        <v>0.25</v>
      </c>
    </row>
    <row r="37" spans="3:5" x14ac:dyDescent="0.25">
      <c r="C37" s="190" t="s">
        <v>124</v>
      </c>
      <c r="D37" s="186">
        <v>3.2000000000000002E-3</v>
      </c>
      <c r="E37" s="191">
        <v>0.35</v>
      </c>
    </row>
    <row r="38" spans="3:5" x14ac:dyDescent="0.25">
      <c r="C38" s="190" t="s">
        <v>125</v>
      </c>
      <c r="D38" s="186">
        <v>3.3500000000000001E-3</v>
      </c>
      <c r="E38" s="191">
        <v>0.5</v>
      </c>
    </row>
    <row r="39" spans="3:5" x14ac:dyDescent="0.25">
      <c r="C39" s="190" t="s">
        <v>126</v>
      </c>
      <c r="D39" s="186">
        <v>3.3500000000000001E-3</v>
      </c>
      <c r="E39" s="191">
        <v>0.6</v>
      </c>
    </row>
    <row r="40" spans="3:5" x14ac:dyDescent="0.25">
      <c r="C40" s="190" t="s">
        <v>127</v>
      </c>
      <c r="D40" s="186">
        <v>3.0000000000000001E-3</v>
      </c>
      <c r="E40" s="191">
        <v>0.3</v>
      </c>
    </row>
    <row r="41" spans="3:5" x14ac:dyDescent="0.25">
      <c r="C41" s="190" t="s">
        <v>128</v>
      </c>
      <c r="D41" s="186" t="s">
        <v>58</v>
      </c>
      <c r="E41" s="191">
        <v>0.2</v>
      </c>
    </row>
    <row r="42" spans="3:5" x14ac:dyDescent="0.25">
      <c r="C42" s="190" t="s">
        <v>129</v>
      </c>
      <c r="D42" s="186">
        <v>3.4499999999999999E-3</v>
      </c>
      <c r="E42" s="191">
        <v>0.3</v>
      </c>
    </row>
    <row r="43" spans="3:5" x14ac:dyDescent="0.25">
      <c r="C43" s="190" t="s">
        <v>130</v>
      </c>
      <c r="D43" s="186">
        <v>3.2000000000000002E-3</v>
      </c>
      <c r="E43" s="191">
        <v>0.3</v>
      </c>
    </row>
    <row r="44" spans="3:5" x14ac:dyDescent="0.25">
      <c r="C44" s="190" t="s">
        <v>131</v>
      </c>
      <c r="D44" s="186">
        <v>2.5000000000000001E-3</v>
      </c>
      <c r="E44" s="191">
        <v>0.35</v>
      </c>
    </row>
    <row r="45" spans="3:5" x14ac:dyDescent="0.25">
      <c r="C45" s="190" t="s">
        <v>132</v>
      </c>
      <c r="D45" s="186">
        <v>3.2000000000000002E-3</v>
      </c>
      <c r="E45" s="191">
        <v>0.25</v>
      </c>
    </row>
    <row r="46" spans="3:5" x14ac:dyDescent="0.25">
      <c r="C46" s="190" t="s">
        <v>133</v>
      </c>
      <c r="D46" s="186" t="s">
        <v>58</v>
      </c>
      <c r="E46" s="191">
        <v>0.5</v>
      </c>
    </row>
    <row r="47" spans="3:5" x14ac:dyDescent="0.25">
      <c r="C47" s="190" t="s">
        <v>134</v>
      </c>
      <c r="D47" s="186">
        <v>3.0000000000000001E-3</v>
      </c>
      <c r="E47" s="191">
        <v>0.25</v>
      </c>
    </row>
    <row r="48" spans="3:5" x14ac:dyDescent="0.25">
      <c r="C48" s="190" t="s">
        <v>135</v>
      </c>
      <c r="D48" s="186">
        <v>2.7000000000000001E-3</v>
      </c>
      <c r="E48" s="191">
        <v>0.3</v>
      </c>
    </row>
    <row r="49" spans="3:5" x14ac:dyDescent="0.25">
      <c r="C49" s="190" t="s">
        <v>136</v>
      </c>
      <c r="D49" s="186">
        <v>3.7000000000000002E-3</v>
      </c>
      <c r="E49" s="191">
        <v>0.35</v>
      </c>
    </row>
    <row r="50" spans="3:5" x14ac:dyDescent="0.25">
      <c r="C50" s="190" t="s">
        <v>137</v>
      </c>
      <c r="D50" s="186">
        <v>3.7000000000000002E-3</v>
      </c>
      <c r="E50" s="191">
        <v>0.6</v>
      </c>
    </row>
    <row r="51" spans="3:5" x14ac:dyDescent="0.25">
      <c r="C51" s="190" t="s">
        <v>138</v>
      </c>
      <c r="D51" s="186">
        <v>3.7000000000000002E-3</v>
      </c>
      <c r="E51" s="191">
        <v>0.7</v>
      </c>
    </row>
    <row r="52" spans="3:5" x14ac:dyDescent="0.25">
      <c r="C52" s="190" t="s">
        <v>139</v>
      </c>
      <c r="D52" s="186">
        <v>3.7000000000000002E-3</v>
      </c>
      <c r="E52" s="191">
        <v>0.7</v>
      </c>
    </row>
    <row r="53" spans="3:5" x14ac:dyDescent="0.25">
      <c r="C53" s="190" t="s">
        <v>140</v>
      </c>
      <c r="D53" s="186">
        <v>3.2000000000000002E-3</v>
      </c>
      <c r="E53" s="191">
        <v>0.3</v>
      </c>
    </row>
    <row r="54" spans="3:5" x14ac:dyDescent="0.25">
      <c r="C54" s="190" t="s">
        <v>141</v>
      </c>
      <c r="D54" s="186" t="s">
        <v>58</v>
      </c>
      <c r="E54" s="191">
        <v>0.3</v>
      </c>
    </row>
    <row r="55" spans="3:5" x14ac:dyDescent="0.25">
      <c r="C55" s="190" t="s">
        <v>142</v>
      </c>
      <c r="D55" s="186" t="s">
        <v>58</v>
      </c>
      <c r="E55" s="191">
        <v>0.3</v>
      </c>
    </row>
    <row r="56" spans="3:5" x14ac:dyDescent="0.25">
      <c r="C56" s="190" t="s">
        <v>143</v>
      </c>
      <c r="D56" s="186" t="s">
        <v>58</v>
      </c>
      <c r="E56" s="191">
        <v>0.45</v>
      </c>
    </row>
    <row r="57" spans="3:5" x14ac:dyDescent="0.25">
      <c r="C57" s="190" t="s">
        <v>144</v>
      </c>
      <c r="D57" s="186">
        <v>2.2000000000000001E-3</v>
      </c>
      <c r="E57" s="191">
        <v>0.35</v>
      </c>
    </row>
    <row r="58" spans="3:5" x14ac:dyDescent="0.25">
      <c r="C58" s="190" t="s">
        <v>145</v>
      </c>
      <c r="D58" s="186">
        <v>3.7000000000000002E-3</v>
      </c>
      <c r="E58" s="191">
        <v>0.4</v>
      </c>
    </row>
    <row r="59" spans="3:5" x14ac:dyDescent="0.25">
      <c r="C59" s="190" t="s">
        <v>146</v>
      </c>
      <c r="D59" s="186">
        <v>3.2000000000000002E-3</v>
      </c>
      <c r="E59" s="191">
        <v>0.45</v>
      </c>
    </row>
    <row r="60" spans="3:5" x14ac:dyDescent="0.25">
      <c r="C60" s="190" t="s">
        <v>147</v>
      </c>
      <c r="D60" s="186">
        <v>3.2000000000000002E-3</v>
      </c>
      <c r="E60" s="191">
        <v>0.2</v>
      </c>
    </row>
    <row r="61" spans="3:5" x14ac:dyDescent="0.25">
      <c r="C61" s="190" t="s">
        <v>148</v>
      </c>
      <c r="D61" s="186">
        <v>3.7000000000000002E-3</v>
      </c>
      <c r="E61" s="191">
        <v>0.2</v>
      </c>
    </row>
    <row r="62" spans="3:5" x14ac:dyDescent="0.25">
      <c r="C62" s="190" t="s">
        <v>149</v>
      </c>
      <c r="D62" s="186">
        <v>1.9E-3</v>
      </c>
      <c r="E62" s="191">
        <v>0.7</v>
      </c>
    </row>
    <row r="63" spans="3:5" x14ac:dyDescent="0.25">
      <c r="C63" s="190" t="s">
        <v>150</v>
      </c>
      <c r="D63" s="186">
        <v>1.8E-3</v>
      </c>
      <c r="E63" s="191">
        <v>0.85</v>
      </c>
    </row>
    <row r="64" spans="3:5" x14ac:dyDescent="0.25">
      <c r="C64" s="190" t="s">
        <v>151</v>
      </c>
      <c r="D64" s="186">
        <v>1.9E-3</v>
      </c>
      <c r="E64" s="191">
        <v>0.35</v>
      </c>
    </row>
    <row r="65" spans="3:5" x14ac:dyDescent="0.25">
      <c r="C65" s="190" t="s">
        <v>152</v>
      </c>
      <c r="D65" s="186">
        <v>2.4499999999999999E-3</v>
      </c>
      <c r="E65" s="191">
        <v>0.35</v>
      </c>
    </row>
    <row r="66" spans="3:5" x14ac:dyDescent="0.25">
      <c r="C66" s="190" t="s">
        <v>153</v>
      </c>
      <c r="D66" s="186">
        <v>1.9E-3</v>
      </c>
      <c r="E66" s="191">
        <v>0.6</v>
      </c>
    </row>
    <row r="67" spans="3:5" x14ac:dyDescent="0.25">
      <c r="C67" s="190" t="s">
        <v>154</v>
      </c>
      <c r="D67" s="186">
        <v>2.3E-3</v>
      </c>
      <c r="E67" s="191">
        <v>0.6</v>
      </c>
    </row>
    <row r="68" spans="3:5" x14ac:dyDescent="0.25">
      <c r="C68" s="190" t="s">
        <v>155</v>
      </c>
      <c r="D68" s="186">
        <v>2.0999999999999999E-3</v>
      </c>
      <c r="E68" s="191">
        <v>0.65</v>
      </c>
    </row>
    <row r="69" spans="3:5" x14ac:dyDescent="0.25">
      <c r="C69" s="190" t="s">
        <v>156</v>
      </c>
      <c r="D69" s="186">
        <v>2E-3</v>
      </c>
      <c r="E69" s="191">
        <v>0.5</v>
      </c>
    </row>
    <row r="70" spans="3:5" x14ac:dyDescent="0.25">
      <c r="C70" s="190" t="s">
        <v>157</v>
      </c>
      <c r="D70" s="186">
        <v>2E-3</v>
      </c>
      <c r="E70" s="191">
        <v>0.55000000000000004</v>
      </c>
    </row>
    <row r="71" spans="3:5" x14ac:dyDescent="0.25">
      <c r="C71" s="190" t="s">
        <v>158</v>
      </c>
      <c r="D71" s="186">
        <v>2.0999999999999999E-3</v>
      </c>
      <c r="E71" s="191">
        <v>0.25</v>
      </c>
    </row>
    <row r="72" spans="3:5" x14ac:dyDescent="0.25">
      <c r="C72" s="190" t="s">
        <v>159</v>
      </c>
      <c r="D72" s="186">
        <v>2.2000000000000001E-3</v>
      </c>
      <c r="E72" s="191">
        <v>0.65</v>
      </c>
    </row>
    <row r="73" spans="3:5" x14ac:dyDescent="0.25">
      <c r="C73" s="190" t="s">
        <v>160</v>
      </c>
      <c r="D73" s="186" t="s">
        <v>58</v>
      </c>
      <c r="E73" s="191"/>
    </row>
    <row r="74" spans="3:5" x14ac:dyDescent="0.25">
      <c r="C74" s="190" t="s">
        <v>161</v>
      </c>
      <c r="D74" s="186">
        <v>3.2000000000000002E-3</v>
      </c>
      <c r="E74" s="191">
        <v>0.6</v>
      </c>
    </row>
    <row r="75" spans="3:5" x14ac:dyDescent="0.25">
      <c r="C75" s="190" t="s">
        <v>162</v>
      </c>
      <c r="D75" s="186">
        <v>3.2000000000000002E-3</v>
      </c>
      <c r="E75" s="191">
        <v>0.45</v>
      </c>
    </row>
    <row r="76" spans="3:5" x14ac:dyDescent="0.25">
      <c r="C76" s="190" t="s">
        <v>163</v>
      </c>
      <c r="D76" s="186">
        <v>3.3999999999999998E-3</v>
      </c>
      <c r="E76" s="191">
        <v>0.4</v>
      </c>
    </row>
    <row r="77" spans="3:5" x14ac:dyDescent="0.25">
      <c r="C77" s="190" t="s">
        <v>164</v>
      </c>
      <c r="D77" s="186">
        <v>3.2000000000000002E-3</v>
      </c>
      <c r="E77" s="191">
        <v>0.5</v>
      </c>
    </row>
    <row r="78" spans="3:5" x14ac:dyDescent="0.25">
      <c r="C78" s="190" t="s">
        <v>165</v>
      </c>
      <c r="D78" s="186">
        <v>2.7000000000000001E-3</v>
      </c>
      <c r="E78" s="191">
        <v>0.5</v>
      </c>
    </row>
    <row r="79" spans="3:5" x14ac:dyDescent="0.25">
      <c r="C79" s="190" t="s">
        <v>166</v>
      </c>
      <c r="D79" s="186">
        <v>3.0000000000000001E-3</v>
      </c>
      <c r="E79" s="191">
        <v>0.45</v>
      </c>
    </row>
    <row r="80" spans="3:5" x14ac:dyDescent="0.25">
      <c r="C80" s="190" t="s">
        <v>167</v>
      </c>
      <c r="D80" s="186" t="s">
        <v>58</v>
      </c>
      <c r="E80" s="191">
        <v>0.45</v>
      </c>
    </row>
    <row r="81" spans="3:5" x14ac:dyDescent="0.25">
      <c r="C81" s="190" t="s">
        <v>168</v>
      </c>
      <c r="D81" s="186">
        <v>3.7000000000000002E-3</v>
      </c>
      <c r="E81" s="191">
        <v>0.5</v>
      </c>
    </row>
    <row r="82" spans="3:5" x14ac:dyDescent="0.25">
      <c r="C82" s="190" t="s">
        <v>169</v>
      </c>
      <c r="D82" s="186">
        <v>3.0000000000000001E-3</v>
      </c>
      <c r="E82" s="191">
        <v>0.5</v>
      </c>
    </row>
    <row r="83" spans="3:5" x14ac:dyDescent="0.25">
      <c r="C83" s="190" t="s">
        <v>170</v>
      </c>
      <c r="D83" s="186">
        <v>2.7000000000000001E-3</v>
      </c>
      <c r="E83" s="191">
        <v>0.5</v>
      </c>
    </row>
    <row r="84" spans="3:5" x14ac:dyDescent="0.25">
      <c r="C84" s="190" t="s">
        <v>171</v>
      </c>
      <c r="D84" s="186">
        <v>2.3E-3</v>
      </c>
      <c r="E84" s="191">
        <v>0.45</v>
      </c>
    </row>
    <row r="85" spans="3:5" x14ac:dyDescent="0.25">
      <c r="C85" s="190" t="s">
        <v>172</v>
      </c>
      <c r="D85" s="186">
        <v>2.3E-3</v>
      </c>
      <c r="E85" s="191">
        <v>0.5</v>
      </c>
    </row>
    <row r="86" spans="3:5" x14ac:dyDescent="0.25">
      <c r="C86" s="190" t="s">
        <v>173</v>
      </c>
      <c r="D86" s="186">
        <v>3.2000000000000002E-3</v>
      </c>
      <c r="E86" s="191">
        <v>0.45</v>
      </c>
    </row>
    <row r="87" spans="3:5" x14ac:dyDescent="0.25">
      <c r="C87" s="190" t="s">
        <v>174</v>
      </c>
      <c r="D87" s="186" t="s">
        <v>58</v>
      </c>
      <c r="E87" s="191">
        <v>0.45</v>
      </c>
    </row>
    <row r="88" spans="3:5" x14ac:dyDescent="0.25">
      <c r="C88" s="190" t="s">
        <v>175</v>
      </c>
      <c r="D88" s="186">
        <v>2.7000000000000001E-3</v>
      </c>
      <c r="E88" s="191">
        <v>0.55000000000000004</v>
      </c>
    </row>
    <row r="89" spans="3:5" x14ac:dyDescent="0.25">
      <c r="C89" s="190" t="s">
        <v>176</v>
      </c>
      <c r="D89" s="186" t="s">
        <v>58</v>
      </c>
      <c r="E89" s="191">
        <v>0.45</v>
      </c>
    </row>
    <row r="90" spans="3:5" x14ac:dyDescent="0.25">
      <c r="C90" s="190" t="s">
        <v>177</v>
      </c>
      <c r="D90" s="186" t="s">
        <v>58</v>
      </c>
      <c r="E90" s="191">
        <v>0.45</v>
      </c>
    </row>
    <row r="91" spans="3:5" x14ac:dyDescent="0.25">
      <c r="C91" s="190" t="s">
        <v>178</v>
      </c>
      <c r="D91" s="186">
        <v>3.0000000000000001E-3</v>
      </c>
      <c r="E91" s="191">
        <v>0.5</v>
      </c>
    </row>
    <row r="92" spans="3:5" x14ac:dyDescent="0.25">
      <c r="C92" s="190" t="s">
        <v>179</v>
      </c>
      <c r="D92" s="186">
        <v>2.4199999999999998E-3</v>
      </c>
      <c r="E92" s="191">
        <v>0.6</v>
      </c>
    </row>
    <row r="93" spans="3:5" x14ac:dyDescent="0.25">
      <c r="C93" s="190" t="s">
        <v>180</v>
      </c>
      <c r="D93" s="186">
        <v>3.2000000000000002E-3</v>
      </c>
      <c r="E93" s="191">
        <v>0.35</v>
      </c>
    </row>
    <row r="94" spans="3:5" x14ac:dyDescent="0.25">
      <c r="C94" s="190" t="s">
        <v>181</v>
      </c>
      <c r="D94" s="186">
        <v>2.7000000000000001E-3</v>
      </c>
      <c r="E94" s="191">
        <v>0.4</v>
      </c>
    </row>
  </sheetData>
  <protectedRanges>
    <protectedRange algorithmName="SHA-512" hashValue="OTCpRhJZX4ssmT46fjuIfZEUFrJbh5L9SM4EI20AtbquI6lApnQY3AAisqFHYJF5rjpcVA6yHfCUqgHNOflIxA==" saltValue="c0MYD3cX8JRpzQJF4EU+cQ==" spinCount="100000" sqref="BH1:BO90 BP2:BQ135" name="Rating Factors"/>
  </protectedRange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7ECCE-5D84-4256-AE16-9C398A1F512F}">
  <sheetPr codeName="Sheet20"/>
  <dimension ref="A1:M420"/>
  <sheetViews>
    <sheetView workbookViewId="0">
      <selection activeCell="F25" sqref="F25"/>
    </sheetView>
  </sheetViews>
  <sheetFormatPr defaultColWidth="8.85546875" defaultRowHeight="15" x14ac:dyDescent="0.25"/>
  <cols>
    <col min="1" max="1" width="18" style="92" customWidth="1"/>
    <col min="2" max="2" width="12.28515625" style="92" customWidth="1"/>
    <col min="3" max="3" width="51.5703125" style="92" bestFit="1" customWidth="1"/>
    <col min="4" max="4" width="13.5703125" style="95" bestFit="1" customWidth="1"/>
    <col min="5" max="5" width="16.5703125" style="92" customWidth="1"/>
    <col min="6" max="6" width="8.85546875" style="92"/>
    <col min="7" max="7" width="25" style="92" bestFit="1" customWidth="1"/>
    <col min="8" max="16384" width="8.85546875" style="92"/>
  </cols>
  <sheetData>
    <row r="1" spans="1:13" x14ac:dyDescent="0.25">
      <c r="A1" s="90" t="s">
        <v>185</v>
      </c>
      <c r="B1" s="90" t="s">
        <v>186</v>
      </c>
      <c r="C1" s="90" t="s">
        <v>187</v>
      </c>
      <c r="D1" s="91" t="s">
        <v>185</v>
      </c>
      <c r="E1" s="90" t="s">
        <v>187</v>
      </c>
    </row>
    <row r="2" spans="1:13" x14ac:dyDescent="0.25">
      <c r="A2" s="93" t="s">
        <v>188</v>
      </c>
      <c r="B2" s="93" t="s">
        <v>189</v>
      </c>
      <c r="C2" s="93" t="s">
        <v>190</v>
      </c>
      <c r="D2" s="94" t="s">
        <v>191</v>
      </c>
      <c r="E2" s="93" t="s">
        <v>192</v>
      </c>
    </row>
    <row r="3" spans="1:13" x14ac:dyDescent="0.25">
      <c r="A3" s="93" t="s">
        <v>193</v>
      </c>
      <c r="B3" s="93" t="s">
        <v>194</v>
      </c>
      <c r="C3" s="93" t="s">
        <v>195</v>
      </c>
      <c r="D3" s="94" t="s">
        <v>191</v>
      </c>
      <c r="E3" s="93" t="s">
        <v>192</v>
      </c>
      <c r="G3" s="103" t="s">
        <v>13</v>
      </c>
      <c r="H3" s="97" t="s">
        <v>1259</v>
      </c>
      <c r="I3" s="97" t="s">
        <v>1260</v>
      </c>
      <c r="J3" s="97" t="s">
        <v>1261</v>
      </c>
      <c r="K3" s="97" t="s">
        <v>1262</v>
      </c>
      <c r="L3" s="97" t="s">
        <v>1263</v>
      </c>
      <c r="M3" s="97" t="s">
        <v>1264</v>
      </c>
    </row>
    <row r="4" spans="1:13" x14ac:dyDescent="0.25">
      <c r="A4" s="93" t="s">
        <v>196</v>
      </c>
      <c r="B4" s="93" t="s">
        <v>197</v>
      </c>
      <c r="C4" s="93" t="s">
        <v>198</v>
      </c>
      <c r="D4" s="94" t="s">
        <v>191</v>
      </c>
      <c r="E4" s="93" t="s">
        <v>192</v>
      </c>
      <c r="G4" s="15" t="s">
        <v>1291</v>
      </c>
      <c r="H4" s="98">
        <v>0.02</v>
      </c>
      <c r="I4" s="98">
        <v>0.02</v>
      </c>
      <c r="J4" s="98">
        <f t="shared" ref="J4:M5" si="0">I4+0.005</f>
        <v>2.5000000000000001E-2</v>
      </c>
      <c r="K4" s="98">
        <f t="shared" si="0"/>
        <v>3.0000000000000002E-2</v>
      </c>
      <c r="L4" s="98">
        <f t="shared" si="0"/>
        <v>3.5000000000000003E-2</v>
      </c>
      <c r="M4" s="99">
        <f t="shared" si="0"/>
        <v>0.04</v>
      </c>
    </row>
    <row r="5" spans="1:13" x14ac:dyDescent="0.25">
      <c r="A5" s="93" t="s">
        <v>199</v>
      </c>
      <c r="B5" s="93" t="s">
        <v>200</v>
      </c>
      <c r="C5" s="93" t="s">
        <v>201</v>
      </c>
      <c r="D5" s="94" t="s">
        <v>191</v>
      </c>
      <c r="E5" s="93" t="s">
        <v>192</v>
      </c>
      <c r="G5" s="15" t="s">
        <v>82</v>
      </c>
      <c r="H5" s="98">
        <v>0.02</v>
      </c>
      <c r="I5" s="98">
        <v>0.02</v>
      </c>
      <c r="J5" s="98">
        <f t="shared" si="0"/>
        <v>2.5000000000000001E-2</v>
      </c>
      <c r="K5" s="98">
        <f t="shared" si="0"/>
        <v>3.0000000000000002E-2</v>
      </c>
      <c r="L5" s="98">
        <f t="shared" si="0"/>
        <v>3.5000000000000003E-2</v>
      </c>
      <c r="M5" s="99">
        <f t="shared" si="0"/>
        <v>0.04</v>
      </c>
    </row>
    <row r="6" spans="1:13" x14ac:dyDescent="0.25">
      <c r="A6" s="93" t="s">
        <v>202</v>
      </c>
      <c r="B6" s="93" t="s">
        <v>203</v>
      </c>
      <c r="C6" s="93" t="s">
        <v>204</v>
      </c>
      <c r="D6" s="94" t="s">
        <v>191</v>
      </c>
      <c r="E6" s="93" t="s">
        <v>192</v>
      </c>
      <c r="G6" s="15" t="s">
        <v>77</v>
      </c>
      <c r="H6" s="98">
        <v>2.5000000000000001E-2</v>
      </c>
      <c r="I6" s="98">
        <v>2.5000000000000001E-2</v>
      </c>
      <c r="J6" s="98">
        <f>I6+0.005</f>
        <v>3.0000000000000002E-2</v>
      </c>
      <c r="K6" s="98">
        <f>J6+0.005</f>
        <v>3.5000000000000003E-2</v>
      </c>
      <c r="L6" s="98">
        <f>K6+0.005</f>
        <v>0.04</v>
      </c>
      <c r="M6" s="99">
        <f>L6+0.005</f>
        <v>4.4999999999999998E-2</v>
      </c>
    </row>
    <row r="7" spans="1:13" x14ac:dyDescent="0.25">
      <c r="A7" s="93" t="s">
        <v>205</v>
      </c>
      <c r="B7" s="93" t="s">
        <v>206</v>
      </c>
      <c r="C7" s="93" t="s">
        <v>207</v>
      </c>
      <c r="D7" s="94" t="s">
        <v>191</v>
      </c>
      <c r="E7" s="93" t="s">
        <v>192</v>
      </c>
      <c r="G7" s="15" t="s">
        <v>72</v>
      </c>
      <c r="H7" s="98">
        <v>2.5000000000000001E-2</v>
      </c>
      <c r="I7" s="98">
        <v>2.5000000000000001E-2</v>
      </c>
      <c r="J7" s="98">
        <v>3.0000000000000002E-2</v>
      </c>
      <c r="K7" s="98">
        <v>3.5000000000000003E-2</v>
      </c>
      <c r="L7" s="98">
        <v>0.04</v>
      </c>
      <c r="M7" s="99">
        <v>4.4999999999999998E-2</v>
      </c>
    </row>
    <row r="8" spans="1:13" x14ac:dyDescent="0.25">
      <c r="A8" s="93" t="s">
        <v>208</v>
      </c>
      <c r="B8" s="93" t="s">
        <v>209</v>
      </c>
      <c r="C8" s="93" t="s">
        <v>204</v>
      </c>
      <c r="D8" s="94" t="s">
        <v>191</v>
      </c>
      <c r="E8" s="93" t="s">
        <v>192</v>
      </c>
      <c r="G8" s="15" t="s">
        <v>65</v>
      </c>
      <c r="H8" s="98">
        <v>0.03</v>
      </c>
      <c r="I8" s="98">
        <v>0.03</v>
      </c>
      <c r="J8" s="98">
        <f t="shared" ref="J8:M9" si="1">I8+0.005</f>
        <v>3.4999999999999996E-2</v>
      </c>
      <c r="K8" s="98">
        <f t="shared" si="1"/>
        <v>3.9999999999999994E-2</v>
      </c>
      <c r="L8" s="98">
        <f t="shared" si="1"/>
        <v>4.4999999999999991E-2</v>
      </c>
      <c r="M8" s="99">
        <f t="shared" si="1"/>
        <v>4.9999999999999989E-2</v>
      </c>
    </row>
    <row r="9" spans="1:13" x14ac:dyDescent="0.25">
      <c r="A9" s="93" t="s">
        <v>210</v>
      </c>
      <c r="B9" s="93" t="s">
        <v>211</v>
      </c>
      <c r="C9" s="93" t="s">
        <v>204</v>
      </c>
      <c r="D9" s="94" t="s">
        <v>191</v>
      </c>
      <c r="E9" s="93" t="s">
        <v>192</v>
      </c>
      <c r="G9" s="100" t="s">
        <v>59</v>
      </c>
      <c r="H9" s="101">
        <v>0.03</v>
      </c>
      <c r="I9" s="101">
        <v>0.03</v>
      </c>
      <c r="J9" s="101">
        <f t="shared" si="1"/>
        <v>3.4999999999999996E-2</v>
      </c>
      <c r="K9" s="101">
        <f t="shared" si="1"/>
        <v>3.9999999999999994E-2</v>
      </c>
      <c r="L9" s="101">
        <f t="shared" si="1"/>
        <v>4.4999999999999991E-2</v>
      </c>
      <c r="M9" s="102">
        <f t="shared" si="1"/>
        <v>4.9999999999999989E-2</v>
      </c>
    </row>
    <row r="10" spans="1:13" x14ac:dyDescent="0.25">
      <c r="A10" s="93" t="s">
        <v>212</v>
      </c>
      <c r="B10" s="93" t="s">
        <v>213</v>
      </c>
      <c r="C10" s="93" t="s">
        <v>214</v>
      </c>
      <c r="D10" s="94" t="s">
        <v>215</v>
      </c>
      <c r="E10" s="93" t="s">
        <v>216</v>
      </c>
    </row>
    <row r="11" spans="1:13" x14ac:dyDescent="0.25">
      <c r="A11" s="93" t="s">
        <v>217</v>
      </c>
      <c r="B11" s="93" t="s">
        <v>218</v>
      </c>
      <c r="C11" s="93" t="s">
        <v>195</v>
      </c>
      <c r="D11" s="94" t="s">
        <v>215</v>
      </c>
      <c r="E11" s="93" t="s">
        <v>216</v>
      </c>
    </row>
    <row r="12" spans="1:13" x14ac:dyDescent="0.25">
      <c r="A12" s="93" t="s">
        <v>219</v>
      </c>
      <c r="B12" s="93" t="s">
        <v>220</v>
      </c>
      <c r="C12" s="93" t="s">
        <v>190</v>
      </c>
      <c r="D12" s="94" t="s">
        <v>215</v>
      </c>
      <c r="E12" s="93" t="s">
        <v>216</v>
      </c>
    </row>
    <row r="13" spans="1:13" x14ac:dyDescent="0.25">
      <c r="A13" s="93" t="s">
        <v>221</v>
      </c>
      <c r="B13" s="93" t="s">
        <v>222</v>
      </c>
      <c r="C13" s="93" t="s">
        <v>195</v>
      </c>
      <c r="D13" s="94" t="s">
        <v>215</v>
      </c>
      <c r="E13" s="93" t="s">
        <v>216</v>
      </c>
    </row>
    <row r="14" spans="1:13" x14ac:dyDescent="0.25">
      <c r="A14" s="93" t="s">
        <v>223</v>
      </c>
      <c r="B14" s="93" t="s">
        <v>224</v>
      </c>
      <c r="C14" s="93" t="s">
        <v>225</v>
      </c>
      <c r="D14" s="94" t="s">
        <v>215</v>
      </c>
      <c r="E14" s="93" t="s">
        <v>216</v>
      </c>
    </row>
    <row r="15" spans="1:13" x14ac:dyDescent="0.25">
      <c r="A15" s="93" t="s">
        <v>226</v>
      </c>
      <c r="B15" s="93" t="s">
        <v>227</v>
      </c>
      <c r="C15" s="93" t="s">
        <v>228</v>
      </c>
      <c r="D15" s="94" t="s">
        <v>215</v>
      </c>
      <c r="E15" s="93" t="s">
        <v>216</v>
      </c>
    </row>
    <row r="16" spans="1:13" x14ac:dyDescent="0.25">
      <c r="A16" s="93" t="s">
        <v>229</v>
      </c>
      <c r="B16" s="93" t="s">
        <v>230</v>
      </c>
      <c r="C16" s="93" t="s">
        <v>231</v>
      </c>
      <c r="D16" s="94" t="s">
        <v>215</v>
      </c>
      <c r="E16" s="93" t="s">
        <v>216</v>
      </c>
    </row>
    <row r="17" spans="1:5" x14ac:dyDescent="0.25">
      <c r="A17" s="93" t="s">
        <v>232</v>
      </c>
      <c r="B17" s="93" t="s">
        <v>233</v>
      </c>
      <c r="C17" s="93" t="s">
        <v>234</v>
      </c>
      <c r="D17" s="94" t="s">
        <v>215</v>
      </c>
      <c r="E17" s="93" t="s">
        <v>216</v>
      </c>
    </row>
    <row r="18" spans="1:5" x14ac:dyDescent="0.25">
      <c r="A18" s="93" t="s">
        <v>235</v>
      </c>
      <c r="B18" s="93" t="s">
        <v>236</v>
      </c>
      <c r="C18" s="93" t="s">
        <v>228</v>
      </c>
      <c r="D18" s="94" t="s">
        <v>215</v>
      </c>
      <c r="E18" s="93" t="s">
        <v>216</v>
      </c>
    </row>
    <row r="19" spans="1:5" x14ac:dyDescent="0.25">
      <c r="A19" s="93" t="s">
        <v>237</v>
      </c>
      <c r="B19" s="93" t="s">
        <v>238</v>
      </c>
      <c r="C19" s="93" t="s">
        <v>228</v>
      </c>
      <c r="D19" s="94" t="s">
        <v>215</v>
      </c>
      <c r="E19" s="93" t="s">
        <v>216</v>
      </c>
    </row>
    <row r="20" spans="1:5" x14ac:dyDescent="0.25">
      <c r="A20" s="93" t="s">
        <v>239</v>
      </c>
      <c r="B20" s="93" t="s">
        <v>240</v>
      </c>
      <c r="C20" s="93" t="s">
        <v>241</v>
      </c>
      <c r="D20" s="94" t="s">
        <v>215</v>
      </c>
      <c r="E20" s="93" t="s">
        <v>216</v>
      </c>
    </row>
    <row r="21" spans="1:5" x14ac:dyDescent="0.25">
      <c r="A21" s="93" t="s">
        <v>242</v>
      </c>
      <c r="B21" s="93" t="s">
        <v>243</v>
      </c>
      <c r="C21" s="93" t="s">
        <v>244</v>
      </c>
      <c r="D21" s="94" t="s">
        <v>215</v>
      </c>
      <c r="E21" s="93" t="s">
        <v>216</v>
      </c>
    </row>
    <row r="22" spans="1:5" x14ac:dyDescent="0.25">
      <c r="A22" s="93" t="s">
        <v>245</v>
      </c>
      <c r="B22" s="93" t="s">
        <v>246</v>
      </c>
      <c r="C22" s="93" t="s">
        <v>244</v>
      </c>
      <c r="D22" s="94" t="s">
        <v>215</v>
      </c>
      <c r="E22" s="93" t="s">
        <v>216</v>
      </c>
    </row>
    <row r="23" spans="1:5" x14ac:dyDescent="0.25">
      <c r="A23" s="93" t="s">
        <v>247</v>
      </c>
      <c r="B23" s="93" t="s">
        <v>248</v>
      </c>
      <c r="C23" s="93" t="s">
        <v>198</v>
      </c>
      <c r="D23" s="94" t="s">
        <v>215</v>
      </c>
      <c r="E23" s="93" t="s">
        <v>216</v>
      </c>
    </row>
    <row r="24" spans="1:5" x14ac:dyDescent="0.25">
      <c r="A24" s="93" t="s">
        <v>249</v>
      </c>
      <c r="B24" s="93" t="s">
        <v>250</v>
      </c>
      <c r="C24" s="93" t="s">
        <v>201</v>
      </c>
      <c r="D24" s="94" t="s">
        <v>215</v>
      </c>
      <c r="E24" s="93" t="s">
        <v>216</v>
      </c>
    </row>
    <row r="25" spans="1:5" x14ac:dyDescent="0.25">
      <c r="A25" s="93" t="s">
        <v>251</v>
      </c>
      <c r="B25" s="93" t="s">
        <v>252</v>
      </c>
      <c r="C25" s="93" t="s">
        <v>201</v>
      </c>
      <c r="D25" s="94" t="s">
        <v>215</v>
      </c>
      <c r="E25" s="93" t="s">
        <v>216</v>
      </c>
    </row>
    <row r="26" spans="1:5" x14ac:dyDescent="0.25">
      <c r="A26" s="93" t="s">
        <v>253</v>
      </c>
      <c r="B26" s="93" t="s">
        <v>254</v>
      </c>
      <c r="C26" s="93" t="s">
        <v>255</v>
      </c>
      <c r="D26" s="94" t="s">
        <v>215</v>
      </c>
      <c r="E26" s="93" t="s">
        <v>216</v>
      </c>
    </row>
    <row r="27" spans="1:5" x14ac:dyDescent="0.25">
      <c r="A27" s="93" t="s">
        <v>256</v>
      </c>
      <c r="B27" s="93" t="s">
        <v>257</v>
      </c>
      <c r="C27" s="93" t="s">
        <v>255</v>
      </c>
      <c r="D27" s="94" t="s">
        <v>215</v>
      </c>
      <c r="E27" s="93" t="s">
        <v>216</v>
      </c>
    </row>
    <row r="28" spans="1:5" x14ac:dyDescent="0.25">
      <c r="A28" s="93" t="s">
        <v>258</v>
      </c>
      <c r="B28" s="93" t="s">
        <v>259</v>
      </c>
      <c r="C28" s="93" t="s">
        <v>255</v>
      </c>
      <c r="D28" s="94" t="s">
        <v>215</v>
      </c>
      <c r="E28" s="93" t="s">
        <v>216</v>
      </c>
    </row>
    <row r="29" spans="1:5" x14ac:dyDescent="0.25">
      <c r="A29" s="93" t="s">
        <v>260</v>
      </c>
      <c r="B29" s="93" t="s">
        <v>261</v>
      </c>
      <c r="C29" s="93" t="s">
        <v>262</v>
      </c>
      <c r="D29" s="94" t="s">
        <v>215</v>
      </c>
      <c r="E29" s="93" t="s">
        <v>216</v>
      </c>
    </row>
    <row r="30" spans="1:5" x14ac:dyDescent="0.25">
      <c r="A30" s="93" t="s">
        <v>263</v>
      </c>
      <c r="B30" s="93" t="s">
        <v>264</v>
      </c>
      <c r="C30" s="93" t="s">
        <v>195</v>
      </c>
      <c r="D30" s="94" t="s">
        <v>215</v>
      </c>
      <c r="E30" s="93" t="s">
        <v>216</v>
      </c>
    </row>
    <row r="31" spans="1:5" x14ac:dyDescent="0.25">
      <c r="A31" s="93" t="s">
        <v>265</v>
      </c>
      <c r="B31" s="93" t="s">
        <v>266</v>
      </c>
      <c r="C31" s="93" t="s">
        <v>267</v>
      </c>
      <c r="D31" s="94" t="s">
        <v>215</v>
      </c>
      <c r="E31" s="93" t="s">
        <v>216</v>
      </c>
    </row>
    <row r="32" spans="1:5" x14ac:dyDescent="0.25">
      <c r="A32" s="93" t="s">
        <v>268</v>
      </c>
      <c r="B32" s="93" t="s">
        <v>269</v>
      </c>
      <c r="C32" s="93" t="s">
        <v>267</v>
      </c>
      <c r="D32" s="94" t="s">
        <v>215</v>
      </c>
      <c r="E32" s="93" t="s">
        <v>216</v>
      </c>
    </row>
    <row r="33" spans="1:5" x14ac:dyDescent="0.25">
      <c r="A33" s="93" t="s">
        <v>270</v>
      </c>
      <c r="B33" s="93" t="s">
        <v>271</v>
      </c>
      <c r="C33" s="93" t="s">
        <v>204</v>
      </c>
      <c r="D33" s="94" t="s">
        <v>215</v>
      </c>
      <c r="E33" s="93" t="s">
        <v>216</v>
      </c>
    </row>
    <row r="34" spans="1:5" x14ac:dyDescent="0.25">
      <c r="A34" s="93" t="s">
        <v>272</v>
      </c>
      <c r="B34" s="93" t="s">
        <v>273</v>
      </c>
      <c r="C34" s="93" t="s">
        <v>274</v>
      </c>
      <c r="D34" s="94" t="s">
        <v>215</v>
      </c>
      <c r="E34" s="93" t="s">
        <v>216</v>
      </c>
    </row>
    <row r="35" spans="1:5" x14ac:dyDescent="0.25">
      <c r="A35" s="93" t="s">
        <v>275</v>
      </c>
      <c r="B35" s="93" t="s">
        <v>276</v>
      </c>
      <c r="C35" s="93" t="s">
        <v>274</v>
      </c>
      <c r="D35" s="94" t="s">
        <v>215</v>
      </c>
      <c r="E35" s="93" t="s">
        <v>216</v>
      </c>
    </row>
    <row r="36" spans="1:5" x14ac:dyDescent="0.25">
      <c r="A36" s="93" t="s">
        <v>277</v>
      </c>
      <c r="B36" s="93" t="s">
        <v>278</v>
      </c>
      <c r="C36" s="93" t="s">
        <v>279</v>
      </c>
      <c r="D36" s="94" t="s">
        <v>280</v>
      </c>
      <c r="E36" s="93" t="s">
        <v>281</v>
      </c>
    </row>
    <row r="37" spans="1:5" x14ac:dyDescent="0.25">
      <c r="A37" s="93" t="s">
        <v>282</v>
      </c>
      <c r="B37" s="93" t="s">
        <v>283</v>
      </c>
      <c r="C37" s="93" t="s">
        <v>284</v>
      </c>
      <c r="D37" s="94" t="s">
        <v>280</v>
      </c>
      <c r="E37" s="93" t="s">
        <v>281</v>
      </c>
    </row>
    <row r="38" spans="1:5" x14ac:dyDescent="0.25">
      <c r="A38" s="93" t="s">
        <v>285</v>
      </c>
      <c r="B38" s="93" t="s">
        <v>286</v>
      </c>
      <c r="C38" s="93" t="s">
        <v>284</v>
      </c>
      <c r="D38" s="94" t="s">
        <v>280</v>
      </c>
      <c r="E38" s="93" t="s">
        <v>281</v>
      </c>
    </row>
    <row r="39" spans="1:5" x14ac:dyDescent="0.25">
      <c r="A39" s="93" t="s">
        <v>287</v>
      </c>
      <c r="B39" s="93" t="s">
        <v>288</v>
      </c>
      <c r="C39" s="93" t="s">
        <v>289</v>
      </c>
      <c r="D39" s="94" t="s">
        <v>280</v>
      </c>
      <c r="E39" s="93" t="s">
        <v>281</v>
      </c>
    </row>
    <row r="40" spans="1:5" x14ac:dyDescent="0.25">
      <c r="A40" s="93" t="s">
        <v>290</v>
      </c>
      <c r="B40" s="93" t="s">
        <v>291</v>
      </c>
      <c r="C40" s="93" t="s">
        <v>292</v>
      </c>
      <c r="D40" s="94" t="s">
        <v>280</v>
      </c>
      <c r="E40" s="93" t="s">
        <v>281</v>
      </c>
    </row>
    <row r="41" spans="1:5" x14ac:dyDescent="0.25">
      <c r="A41" s="93" t="s">
        <v>293</v>
      </c>
      <c r="B41" s="93" t="s">
        <v>294</v>
      </c>
      <c r="C41" s="93" t="s">
        <v>295</v>
      </c>
      <c r="D41" s="94" t="s">
        <v>280</v>
      </c>
      <c r="E41" s="93" t="s">
        <v>281</v>
      </c>
    </row>
    <row r="42" spans="1:5" x14ac:dyDescent="0.25">
      <c r="A42" s="93" t="s">
        <v>296</v>
      </c>
      <c r="B42" s="93" t="s">
        <v>297</v>
      </c>
      <c r="C42" s="93" t="s">
        <v>295</v>
      </c>
      <c r="D42" s="94" t="s">
        <v>280</v>
      </c>
      <c r="E42" s="93" t="s">
        <v>281</v>
      </c>
    </row>
    <row r="43" spans="1:5" x14ac:dyDescent="0.25">
      <c r="A43" s="93" t="s">
        <v>298</v>
      </c>
      <c r="B43" s="93" t="s">
        <v>299</v>
      </c>
      <c r="C43" s="93" t="s">
        <v>300</v>
      </c>
      <c r="D43" s="94" t="s">
        <v>280</v>
      </c>
      <c r="E43" s="93" t="s">
        <v>281</v>
      </c>
    </row>
    <row r="44" spans="1:5" x14ac:dyDescent="0.25">
      <c r="A44" s="93" t="s">
        <v>301</v>
      </c>
      <c r="B44" s="93" t="s">
        <v>302</v>
      </c>
      <c r="C44" s="93" t="s">
        <v>303</v>
      </c>
      <c r="D44" s="94" t="s">
        <v>280</v>
      </c>
      <c r="E44" s="93" t="s">
        <v>281</v>
      </c>
    </row>
    <row r="45" spans="1:5" x14ac:dyDescent="0.25">
      <c r="A45" s="93" t="s">
        <v>304</v>
      </c>
      <c r="B45" s="93" t="s">
        <v>305</v>
      </c>
      <c r="C45" s="93" t="s">
        <v>303</v>
      </c>
      <c r="D45" s="94" t="s">
        <v>280</v>
      </c>
      <c r="E45" s="93" t="s">
        <v>281</v>
      </c>
    </row>
    <row r="46" spans="1:5" x14ac:dyDescent="0.25">
      <c r="A46" s="93" t="s">
        <v>306</v>
      </c>
      <c r="B46" s="93" t="s">
        <v>307</v>
      </c>
      <c r="C46" s="93" t="s">
        <v>303</v>
      </c>
      <c r="D46" s="94" t="s">
        <v>280</v>
      </c>
      <c r="E46" s="93" t="s">
        <v>281</v>
      </c>
    </row>
    <row r="47" spans="1:5" x14ac:dyDescent="0.25">
      <c r="A47" s="93" t="s">
        <v>308</v>
      </c>
      <c r="B47" s="93" t="s">
        <v>309</v>
      </c>
      <c r="C47" s="93" t="s">
        <v>310</v>
      </c>
      <c r="D47" s="94" t="s">
        <v>280</v>
      </c>
      <c r="E47" s="93" t="s">
        <v>281</v>
      </c>
    </row>
    <row r="48" spans="1:5" x14ac:dyDescent="0.25">
      <c r="A48" s="93" t="s">
        <v>311</v>
      </c>
      <c r="B48" s="93" t="s">
        <v>312</v>
      </c>
      <c r="C48" s="93" t="s">
        <v>303</v>
      </c>
      <c r="D48" s="94" t="s">
        <v>280</v>
      </c>
      <c r="E48" s="93" t="s">
        <v>281</v>
      </c>
    </row>
    <row r="49" spans="1:5" x14ac:dyDescent="0.25">
      <c r="A49" s="93" t="s">
        <v>313</v>
      </c>
      <c r="B49" s="93" t="s">
        <v>314</v>
      </c>
      <c r="C49" s="93" t="s">
        <v>303</v>
      </c>
      <c r="D49" s="94" t="s">
        <v>280</v>
      </c>
      <c r="E49" s="93" t="s">
        <v>281</v>
      </c>
    </row>
    <row r="50" spans="1:5" x14ac:dyDescent="0.25">
      <c r="A50" s="93" t="s">
        <v>315</v>
      </c>
      <c r="B50" s="93" t="s">
        <v>316</v>
      </c>
      <c r="C50" s="93" t="s">
        <v>214</v>
      </c>
      <c r="D50" s="94" t="s">
        <v>280</v>
      </c>
      <c r="E50" s="93" t="s">
        <v>281</v>
      </c>
    </row>
    <row r="51" spans="1:5" x14ac:dyDescent="0.25">
      <c r="A51" s="93" t="s">
        <v>317</v>
      </c>
      <c r="B51" s="93" t="s">
        <v>318</v>
      </c>
      <c r="C51" s="93" t="s">
        <v>214</v>
      </c>
      <c r="D51" s="94" t="s">
        <v>280</v>
      </c>
      <c r="E51" s="93" t="s">
        <v>281</v>
      </c>
    </row>
    <row r="52" spans="1:5" x14ac:dyDescent="0.25">
      <c r="A52" s="93" t="s">
        <v>319</v>
      </c>
      <c r="B52" s="93" t="s">
        <v>320</v>
      </c>
      <c r="C52" s="93" t="s">
        <v>295</v>
      </c>
      <c r="D52" s="94" t="s">
        <v>280</v>
      </c>
      <c r="E52" s="93" t="s">
        <v>281</v>
      </c>
    </row>
    <row r="53" spans="1:5" x14ac:dyDescent="0.25">
      <c r="A53" s="93" t="s">
        <v>321</v>
      </c>
      <c r="B53" s="93" t="s">
        <v>322</v>
      </c>
      <c r="C53" s="93" t="s">
        <v>225</v>
      </c>
      <c r="D53" s="94" t="s">
        <v>280</v>
      </c>
      <c r="E53" s="93" t="s">
        <v>281</v>
      </c>
    </row>
    <row r="54" spans="1:5" x14ac:dyDescent="0.25">
      <c r="A54" s="93" t="s">
        <v>323</v>
      </c>
      <c r="B54" s="93" t="s">
        <v>324</v>
      </c>
      <c r="C54" s="93" t="s">
        <v>225</v>
      </c>
      <c r="D54" s="94" t="s">
        <v>280</v>
      </c>
      <c r="E54" s="93" t="s">
        <v>281</v>
      </c>
    </row>
    <row r="55" spans="1:5" x14ac:dyDescent="0.25">
      <c r="A55" s="93" t="s">
        <v>325</v>
      </c>
      <c r="B55" s="93" t="s">
        <v>326</v>
      </c>
      <c r="C55" s="93" t="s">
        <v>225</v>
      </c>
      <c r="D55" s="94" t="s">
        <v>280</v>
      </c>
      <c r="E55" s="93" t="s">
        <v>281</v>
      </c>
    </row>
    <row r="56" spans="1:5" x14ac:dyDescent="0.25">
      <c r="A56" s="93" t="s">
        <v>327</v>
      </c>
      <c r="B56" s="93" t="s">
        <v>328</v>
      </c>
      <c r="C56" s="93" t="s">
        <v>329</v>
      </c>
      <c r="D56" s="94" t="s">
        <v>280</v>
      </c>
      <c r="E56" s="93" t="s">
        <v>281</v>
      </c>
    </row>
    <row r="57" spans="1:5" x14ac:dyDescent="0.25">
      <c r="A57" s="93" t="s">
        <v>330</v>
      </c>
      <c r="B57" s="93" t="s">
        <v>331</v>
      </c>
      <c r="C57" s="93" t="s">
        <v>329</v>
      </c>
      <c r="D57" s="94" t="s">
        <v>280</v>
      </c>
      <c r="E57" s="93" t="s">
        <v>281</v>
      </c>
    </row>
    <row r="58" spans="1:5" x14ac:dyDescent="0.25">
      <c r="A58" s="93" t="s">
        <v>332</v>
      </c>
      <c r="B58" s="93" t="s">
        <v>333</v>
      </c>
      <c r="C58" s="93" t="s">
        <v>329</v>
      </c>
      <c r="D58" s="94" t="s">
        <v>280</v>
      </c>
      <c r="E58" s="93" t="s">
        <v>281</v>
      </c>
    </row>
    <row r="59" spans="1:5" x14ac:dyDescent="0.25">
      <c r="A59" s="93" t="s">
        <v>334</v>
      </c>
      <c r="B59" s="93" t="s">
        <v>335</v>
      </c>
      <c r="C59" s="93" t="s">
        <v>231</v>
      </c>
      <c r="D59" s="94" t="s">
        <v>280</v>
      </c>
      <c r="E59" s="93" t="s">
        <v>281</v>
      </c>
    </row>
    <row r="60" spans="1:5" x14ac:dyDescent="0.25">
      <c r="A60" s="93" t="s">
        <v>336</v>
      </c>
      <c r="B60" s="93" t="s">
        <v>337</v>
      </c>
      <c r="C60" s="93" t="s">
        <v>214</v>
      </c>
      <c r="D60" s="94" t="s">
        <v>280</v>
      </c>
      <c r="E60" s="93" t="s">
        <v>281</v>
      </c>
    </row>
    <row r="61" spans="1:5" x14ac:dyDescent="0.25">
      <c r="A61" s="93" t="s">
        <v>338</v>
      </c>
      <c r="B61" s="93" t="s">
        <v>339</v>
      </c>
      <c r="C61" s="93" t="s">
        <v>190</v>
      </c>
      <c r="D61" s="94" t="s">
        <v>280</v>
      </c>
      <c r="E61" s="93" t="s">
        <v>281</v>
      </c>
    </row>
    <row r="62" spans="1:5" x14ac:dyDescent="0.25">
      <c r="A62" s="93" t="s">
        <v>340</v>
      </c>
      <c r="B62" s="93" t="s">
        <v>341</v>
      </c>
      <c r="C62" s="93" t="s">
        <v>342</v>
      </c>
      <c r="D62" s="94" t="s">
        <v>280</v>
      </c>
      <c r="E62" s="93" t="s">
        <v>281</v>
      </c>
    </row>
    <row r="63" spans="1:5" x14ac:dyDescent="0.25">
      <c r="A63" s="93" t="s">
        <v>343</v>
      </c>
      <c r="B63" s="93" t="s">
        <v>344</v>
      </c>
      <c r="C63" s="93" t="s">
        <v>195</v>
      </c>
      <c r="D63" s="94" t="s">
        <v>280</v>
      </c>
      <c r="E63" s="93" t="s">
        <v>281</v>
      </c>
    </row>
    <row r="64" spans="1:5" x14ac:dyDescent="0.25">
      <c r="A64" s="93" t="s">
        <v>345</v>
      </c>
      <c r="B64" s="93" t="s">
        <v>346</v>
      </c>
      <c r="C64" s="93" t="s">
        <v>195</v>
      </c>
      <c r="D64" s="94" t="s">
        <v>280</v>
      </c>
      <c r="E64" s="93" t="s">
        <v>281</v>
      </c>
    </row>
    <row r="65" spans="1:5" x14ac:dyDescent="0.25">
      <c r="A65" s="93" t="s">
        <v>347</v>
      </c>
      <c r="B65" s="93" t="s">
        <v>348</v>
      </c>
      <c r="C65" s="93" t="s">
        <v>190</v>
      </c>
      <c r="D65" s="94" t="s">
        <v>280</v>
      </c>
      <c r="E65" s="93" t="s">
        <v>281</v>
      </c>
    </row>
    <row r="66" spans="1:5" x14ac:dyDescent="0.25">
      <c r="A66" s="93" t="s">
        <v>349</v>
      </c>
      <c r="B66" s="93" t="s">
        <v>350</v>
      </c>
      <c r="C66" s="93" t="s">
        <v>190</v>
      </c>
      <c r="D66" s="94" t="s">
        <v>280</v>
      </c>
      <c r="E66" s="93" t="s">
        <v>281</v>
      </c>
    </row>
    <row r="67" spans="1:5" x14ac:dyDescent="0.25">
      <c r="A67" s="93" t="s">
        <v>351</v>
      </c>
      <c r="B67" s="93" t="s">
        <v>352</v>
      </c>
      <c r="C67" s="93" t="s">
        <v>310</v>
      </c>
      <c r="D67" s="94" t="s">
        <v>280</v>
      </c>
      <c r="E67" s="93" t="s">
        <v>281</v>
      </c>
    </row>
    <row r="68" spans="1:5" x14ac:dyDescent="0.25">
      <c r="A68" s="93" t="s">
        <v>353</v>
      </c>
      <c r="B68" s="93" t="s">
        <v>354</v>
      </c>
      <c r="C68" s="93" t="s">
        <v>310</v>
      </c>
      <c r="D68" s="94" t="s">
        <v>280</v>
      </c>
      <c r="E68" s="93" t="s">
        <v>281</v>
      </c>
    </row>
    <row r="69" spans="1:5" x14ac:dyDescent="0.25">
      <c r="A69" s="93" t="s">
        <v>355</v>
      </c>
      <c r="B69" s="93" t="s">
        <v>356</v>
      </c>
      <c r="C69" s="93" t="s">
        <v>225</v>
      </c>
      <c r="D69" s="94" t="s">
        <v>280</v>
      </c>
      <c r="E69" s="93" t="s">
        <v>281</v>
      </c>
    </row>
    <row r="70" spans="1:5" x14ac:dyDescent="0.25">
      <c r="A70" s="93" t="s">
        <v>357</v>
      </c>
      <c r="B70" s="93" t="s">
        <v>358</v>
      </c>
      <c r="C70" s="93" t="s">
        <v>228</v>
      </c>
      <c r="D70" s="94" t="s">
        <v>280</v>
      </c>
      <c r="E70" s="93" t="s">
        <v>281</v>
      </c>
    </row>
    <row r="71" spans="1:5" x14ac:dyDescent="0.25">
      <c r="A71" s="93" t="s">
        <v>359</v>
      </c>
      <c r="B71" s="93" t="s">
        <v>360</v>
      </c>
      <c r="C71" s="93" t="s">
        <v>241</v>
      </c>
      <c r="D71" s="94" t="s">
        <v>280</v>
      </c>
      <c r="E71" s="93" t="s">
        <v>281</v>
      </c>
    </row>
    <row r="72" spans="1:5" x14ac:dyDescent="0.25">
      <c r="A72" s="93" t="s">
        <v>361</v>
      </c>
      <c r="B72" s="93" t="s">
        <v>362</v>
      </c>
      <c r="C72" s="93" t="s">
        <v>195</v>
      </c>
      <c r="D72" s="94" t="s">
        <v>280</v>
      </c>
      <c r="E72" s="93" t="s">
        <v>281</v>
      </c>
    </row>
    <row r="73" spans="1:5" x14ac:dyDescent="0.25">
      <c r="A73" s="93" t="s">
        <v>363</v>
      </c>
      <c r="B73" s="93" t="s">
        <v>364</v>
      </c>
      <c r="C73" s="93" t="s">
        <v>365</v>
      </c>
      <c r="D73" s="94" t="s">
        <v>280</v>
      </c>
      <c r="E73" s="93" t="s">
        <v>281</v>
      </c>
    </row>
    <row r="74" spans="1:5" x14ac:dyDescent="0.25">
      <c r="A74" s="93" t="s">
        <v>366</v>
      </c>
      <c r="B74" s="93" t="s">
        <v>367</v>
      </c>
      <c r="C74" s="93" t="s">
        <v>368</v>
      </c>
      <c r="D74" s="94" t="s">
        <v>280</v>
      </c>
      <c r="E74" s="93" t="s">
        <v>281</v>
      </c>
    </row>
    <row r="75" spans="1:5" x14ac:dyDescent="0.25">
      <c r="A75" s="93" t="s">
        <v>369</v>
      </c>
      <c r="B75" s="93" t="s">
        <v>370</v>
      </c>
      <c r="C75" s="93" t="s">
        <v>368</v>
      </c>
      <c r="D75" s="94" t="s">
        <v>280</v>
      </c>
      <c r="E75" s="93" t="s">
        <v>281</v>
      </c>
    </row>
    <row r="76" spans="1:5" x14ac:dyDescent="0.25">
      <c r="A76" s="93" t="s">
        <v>371</v>
      </c>
      <c r="B76" s="93" t="s">
        <v>372</v>
      </c>
      <c r="C76" s="93" t="s">
        <v>198</v>
      </c>
      <c r="D76" s="94" t="s">
        <v>280</v>
      </c>
      <c r="E76" s="93" t="s">
        <v>281</v>
      </c>
    </row>
    <row r="77" spans="1:5" x14ac:dyDescent="0.25">
      <c r="A77" s="93" t="s">
        <v>373</v>
      </c>
      <c r="B77" s="93" t="s">
        <v>374</v>
      </c>
      <c r="C77" s="93" t="s">
        <v>201</v>
      </c>
      <c r="D77" s="94" t="s">
        <v>280</v>
      </c>
      <c r="E77" s="93" t="s">
        <v>281</v>
      </c>
    </row>
    <row r="78" spans="1:5" x14ac:dyDescent="0.25">
      <c r="A78" s="93" t="s">
        <v>375</v>
      </c>
      <c r="B78" s="93" t="s">
        <v>376</v>
      </c>
      <c r="C78" s="93" t="s">
        <v>198</v>
      </c>
      <c r="D78" s="94" t="s">
        <v>280</v>
      </c>
      <c r="E78" s="93" t="s">
        <v>281</v>
      </c>
    </row>
    <row r="79" spans="1:5" x14ac:dyDescent="0.25">
      <c r="A79" s="93" t="s">
        <v>377</v>
      </c>
      <c r="B79" s="93" t="s">
        <v>378</v>
      </c>
      <c r="C79" s="93" t="s">
        <v>201</v>
      </c>
      <c r="D79" s="94" t="s">
        <v>280</v>
      </c>
      <c r="E79" s="93" t="s">
        <v>281</v>
      </c>
    </row>
    <row r="80" spans="1:5" x14ac:dyDescent="0.25">
      <c r="A80" s="93" t="s">
        <v>379</v>
      </c>
      <c r="B80" s="93" t="s">
        <v>380</v>
      </c>
      <c r="C80" s="93" t="s">
        <v>381</v>
      </c>
      <c r="D80" s="94" t="s">
        <v>280</v>
      </c>
      <c r="E80" s="93" t="s">
        <v>281</v>
      </c>
    </row>
    <row r="81" spans="1:5" x14ac:dyDescent="0.25">
      <c r="A81" s="93" t="s">
        <v>382</v>
      </c>
      <c r="B81" s="93" t="s">
        <v>383</v>
      </c>
      <c r="C81" s="93" t="s">
        <v>384</v>
      </c>
      <c r="D81" s="94" t="s">
        <v>280</v>
      </c>
      <c r="E81" s="93" t="s">
        <v>281</v>
      </c>
    </row>
    <row r="82" spans="1:5" x14ac:dyDescent="0.25">
      <c r="A82" s="93" t="s">
        <v>385</v>
      </c>
      <c r="B82" s="93" t="s">
        <v>386</v>
      </c>
      <c r="C82" s="93" t="s">
        <v>387</v>
      </c>
      <c r="D82" s="94" t="s">
        <v>280</v>
      </c>
      <c r="E82" s="93" t="s">
        <v>281</v>
      </c>
    </row>
    <row r="83" spans="1:5" x14ac:dyDescent="0.25">
      <c r="A83" s="93" t="s">
        <v>388</v>
      </c>
      <c r="B83" s="93" t="s">
        <v>389</v>
      </c>
      <c r="C83" s="93" t="s">
        <v>390</v>
      </c>
      <c r="D83" s="94" t="s">
        <v>280</v>
      </c>
      <c r="E83" s="93" t="s">
        <v>281</v>
      </c>
    </row>
    <row r="84" spans="1:5" x14ac:dyDescent="0.25">
      <c r="A84" s="93" t="s">
        <v>391</v>
      </c>
      <c r="B84" s="93" t="s">
        <v>392</v>
      </c>
      <c r="C84" s="93" t="s">
        <v>387</v>
      </c>
      <c r="D84" s="94" t="s">
        <v>280</v>
      </c>
      <c r="E84" s="93" t="s">
        <v>281</v>
      </c>
    </row>
    <row r="85" spans="1:5" x14ac:dyDescent="0.25">
      <c r="A85" s="93" t="s">
        <v>393</v>
      </c>
      <c r="B85" s="93" t="s">
        <v>394</v>
      </c>
      <c r="C85" s="93" t="s">
        <v>387</v>
      </c>
      <c r="D85" s="94" t="s">
        <v>280</v>
      </c>
      <c r="E85" s="93" t="s">
        <v>281</v>
      </c>
    </row>
    <row r="86" spans="1:5" x14ac:dyDescent="0.25">
      <c r="A86" s="93" t="s">
        <v>395</v>
      </c>
      <c r="B86" s="93" t="s">
        <v>396</v>
      </c>
      <c r="C86" s="93" t="s">
        <v>384</v>
      </c>
      <c r="D86" s="94" t="s">
        <v>280</v>
      </c>
      <c r="E86" s="93" t="s">
        <v>281</v>
      </c>
    </row>
    <row r="87" spans="1:5" x14ac:dyDescent="0.25">
      <c r="A87" s="93" t="s">
        <v>397</v>
      </c>
      <c r="B87" s="93" t="s">
        <v>398</v>
      </c>
      <c r="C87" s="93" t="s">
        <v>390</v>
      </c>
      <c r="D87" s="94" t="s">
        <v>280</v>
      </c>
      <c r="E87" s="93" t="s">
        <v>281</v>
      </c>
    </row>
    <row r="88" spans="1:5" x14ac:dyDescent="0.25">
      <c r="A88" s="93" t="s">
        <v>399</v>
      </c>
      <c r="B88" s="93" t="s">
        <v>400</v>
      </c>
      <c r="C88" s="93" t="s">
        <v>390</v>
      </c>
      <c r="D88" s="94" t="s">
        <v>280</v>
      </c>
      <c r="E88" s="93" t="s">
        <v>281</v>
      </c>
    </row>
    <row r="89" spans="1:5" x14ac:dyDescent="0.25">
      <c r="A89" s="93" t="s">
        <v>401</v>
      </c>
      <c r="B89" s="93" t="s">
        <v>402</v>
      </c>
      <c r="C89" s="93" t="s">
        <v>403</v>
      </c>
      <c r="D89" s="94" t="s">
        <v>280</v>
      </c>
      <c r="E89" s="93" t="s">
        <v>281</v>
      </c>
    </row>
    <row r="90" spans="1:5" x14ac:dyDescent="0.25">
      <c r="A90" s="93" t="s">
        <v>404</v>
      </c>
      <c r="B90" s="93" t="s">
        <v>405</v>
      </c>
      <c r="C90" s="93" t="s">
        <v>403</v>
      </c>
      <c r="D90" s="94" t="s">
        <v>280</v>
      </c>
      <c r="E90" s="93" t="s">
        <v>281</v>
      </c>
    </row>
    <row r="91" spans="1:5" x14ac:dyDescent="0.25">
      <c r="A91" s="93" t="s">
        <v>406</v>
      </c>
      <c r="B91" s="93" t="s">
        <v>407</v>
      </c>
      <c r="C91" s="93" t="s">
        <v>204</v>
      </c>
      <c r="D91" s="94" t="s">
        <v>280</v>
      </c>
      <c r="E91" s="93" t="s">
        <v>281</v>
      </c>
    </row>
    <row r="92" spans="1:5" x14ac:dyDescent="0.25">
      <c r="A92" s="93" t="s">
        <v>408</v>
      </c>
      <c r="B92" s="93" t="s">
        <v>409</v>
      </c>
      <c r="C92" s="93" t="s">
        <v>410</v>
      </c>
      <c r="D92" s="94" t="s">
        <v>280</v>
      </c>
      <c r="E92" s="93" t="s">
        <v>281</v>
      </c>
    </row>
    <row r="93" spans="1:5" x14ac:dyDescent="0.25">
      <c r="A93" s="93" t="s">
        <v>411</v>
      </c>
      <c r="B93" s="93" t="s">
        <v>412</v>
      </c>
      <c r="C93" s="93" t="s">
        <v>410</v>
      </c>
      <c r="D93" s="94" t="s">
        <v>280</v>
      </c>
      <c r="E93" s="93" t="s">
        <v>281</v>
      </c>
    </row>
    <row r="94" spans="1:5" x14ac:dyDescent="0.25">
      <c r="A94" s="93" t="s">
        <v>413</v>
      </c>
      <c r="B94" s="93" t="s">
        <v>414</v>
      </c>
      <c r="C94" s="93" t="s">
        <v>415</v>
      </c>
      <c r="D94" s="94" t="s">
        <v>280</v>
      </c>
      <c r="E94" s="93" t="s">
        <v>281</v>
      </c>
    </row>
    <row r="95" spans="1:5" x14ac:dyDescent="0.25">
      <c r="A95" s="93" t="s">
        <v>416</v>
      </c>
      <c r="B95" s="93" t="s">
        <v>417</v>
      </c>
      <c r="C95" s="93" t="s">
        <v>410</v>
      </c>
      <c r="D95" s="94" t="s">
        <v>280</v>
      </c>
      <c r="E95" s="93" t="s">
        <v>281</v>
      </c>
    </row>
    <row r="96" spans="1:5" x14ac:dyDescent="0.25">
      <c r="A96" s="93" t="s">
        <v>418</v>
      </c>
      <c r="B96" s="93" t="s">
        <v>419</v>
      </c>
      <c r="C96" s="93" t="s">
        <v>415</v>
      </c>
      <c r="D96" s="94" t="s">
        <v>280</v>
      </c>
      <c r="E96" s="93" t="s">
        <v>281</v>
      </c>
    </row>
    <row r="97" spans="1:5" x14ac:dyDescent="0.25">
      <c r="A97" s="93" t="s">
        <v>420</v>
      </c>
      <c r="B97" s="93" t="s">
        <v>421</v>
      </c>
      <c r="C97" s="93" t="s">
        <v>204</v>
      </c>
      <c r="D97" s="94" t="s">
        <v>280</v>
      </c>
      <c r="E97" s="93" t="s">
        <v>281</v>
      </c>
    </row>
    <row r="98" spans="1:5" x14ac:dyDescent="0.25">
      <c r="A98" s="93" t="s">
        <v>422</v>
      </c>
      <c r="B98" s="93" t="s">
        <v>423</v>
      </c>
      <c r="C98" s="93" t="s">
        <v>415</v>
      </c>
      <c r="D98" s="94" t="s">
        <v>280</v>
      </c>
      <c r="E98" s="93" t="s">
        <v>281</v>
      </c>
    </row>
    <row r="99" spans="1:5" x14ac:dyDescent="0.25">
      <c r="A99" s="93" t="s">
        <v>424</v>
      </c>
      <c r="B99" s="93" t="s">
        <v>425</v>
      </c>
      <c r="C99" s="93" t="s">
        <v>415</v>
      </c>
      <c r="D99" s="94" t="s">
        <v>280</v>
      </c>
      <c r="E99" s="93" t="s">
        <v>281</v>
      </c>
    </row>
    <row r="100" spans="1:5" x14ac:dyDescent="0.25">
      <c r="A100" s="93" t="s">
        <v>426</v>
      </c>
      <c r="B100" s="93" t="s">
        <v>427</v>
      </c>
      <c r="C100" s="93" t="s">
        <v>415</v>
      </c>
      <c r="D100" s="94" t="s">
        <v>280</v>
      </c>
      <c r="E100" s="93" t="s">
        <v>281</v>
      </c>
    </row>
    <row r="101" spans="1:5" x14ac:dyDescent="0.25">
      <c r="A101" s="93" t="s">
        <v>428</v>
      </c>
      <c r="B101" s="93" t="s">
        <v>429</v>
      </c>
      <c r="C101" s="93" t="s">
        <v>430</v>
      </c>
      <c r="D101" s="94" t="s">
        <v>280</v>
      </c>
      <c r="E101" s="93" t="s">
        <v>281</v>
      </c>
    </row>
    <row r="102" spans="1:5" x14ac:dyDescent="0.25">
      <c r="A102" s="93" t="s">
        <v>431</v>
      </c>
      <c r="B102" s="93" t="s">
        <v>432</v>
      </c>
      <c r="C102" s="93" t="s">
        <v>433</v>
      </c>
      <c r="D102" s="94" t="s">
        <v>280</v>
      </c>
      <c r="E102" s="93" t="s">
        <v>281</v>
      </c>
    </row>
    <row r="103" spans="1:5" x14ac:dyDescent="0.25">
      <c r="A103" s="93" t="s">
        <v>434</v>
      </c>
      <c r="B103" s="93" t="s">
        <v>435</v>
      </c>
      <c r="C103" s="93" t="s">
        <v>436</v>
      </c>
      <c r="D103" s="94" t="s">
        <v>280</v>
      </c>
      <c r="E103" s="93" t="s">
        <v>281</v>
      </c>
    </row>
    <row r="104" spans="1:5" x14ac:dyDescent="0.25">
      <c r="A104" s="93" t="s">
        <v>437</v>
      </c>
      <c r="B104" s="93" t="s">
        <v>438</v>
      </c>
      <c r="C104" s="93" t="s">
        <v>439</v>
      </c>
      <c r="D104" s="94" t="s">
        <v>280</v>
      </c>
      <c r="E104" s="93" t="s">
        <v>281</v>
      </c>
    </row>
    <row r="105" spans="1:5" x14ac:dyDescent="0.25">
      <c r="A105" s="93" t="s">
        <v>440</v>
      </c>
      <c r="B105" s="93" t="s">
        <v>441</v>
      </c>
      <c r="C105" s="93" t="s">
        <v>442</v>
      </c>
      <c r="D105" s="94" t="s">
        <v>280</v>
      </c>
      <c r="E105" s="93" t="s">
        <v>281</v>
      </c>
    </row>
    <row r="106" spans="1:5" x14ac:dyDescent="0.25">
      <c r="A106" s="93" t="s">
        <v>443</v>
      </c>
      <c r="B106" s="93" t="s">
        <v>444</v>
      </c>
      <c r="C106" s="93" t="s">
        <v>445</v>
      </c>
      <c r="D106" s="94" t="s">
        <v>280</v>
      </c>
      <c r="E106" s="93" t="s">
        <v>281</v>
      </c>
    </row>
    <row r="107" spans="1:5" x14ac:dyDescent="0.25">
      <c r="A107" s="93" t="s">
        <v>446</v>
      </c>
      <c r="B107" s="93" t="s">
        <v>447</v>
      </c>
      <c r="C107" s="93" t="s">
        <v>445</v>
      </c>
      <c r="D107" s="94" t="s">
        <v>280</v>
      </c>
      <c r="E107" s="93" t="s">
        <v>281</v>
      </c>
    </row>
    <row r="108" spans="1:5" x14ac:dyDescent="0.25">
      <c r="A108" s="93" t="s">
        <v>448</v>
      </c>
      <c r="B108" s="93" t="s">
        <v>449</v>
      </c>
      <c r="C108" s="93" t="s">
        <v>450</v>
      </c>
      <c r="D108" s="94" t="s">
        <v>280</v>
      </c>
      <c r="E108" s="93" t="s">
        <v>281</v>
      </c>
    </row>
    <row r="109" spans="1:5" x14ac:dyDescent="0.25">
      <c r="A109" s="93" t="s">
        <v>451</v>
      </c>
      <c r="B109" s="93" t="s">
        <v>452</v>
      </c>
      <c r="C109" s="93" t="s">
        <v>450</v>
      </c>
      <c r="D109" s="94" t="s">
        <v>280</v>
      </c>
      <c r="E109" s="93" t="s">
        <v>281</v>
      </c>
    </row>
    <row r="110" spans="1:5" x14ac:dyDescent="0.25">
      <c r="A110" s="93" t="s">
        <v>453</v>
      </c>
      <c r="B110" s="93" t="s">
        <v>454</v>
      </c>
      <c r="C110" s="93" t="s">
        <v>450</v>
      </c>
      <c r="D110" s="94" t="s">
        <v>280</v>
      </c>
      <c r="E110" s="93" t="s">
        <v>281</v>
      </c>
    </row>
    <row r="111" spans="1:5" x14ac:dyDescent="0.25">
      <c r="A111" s="93" t="s">
        <v>455</v>
      </c>
      <c r="B111" s="93" t="s">
        <v>456</v>
      </c>
      <c r="C111" s="93" t="s">
        <v>450</v>
      </c>
      <c r="D111" s="94" t="s">
        <v>280</v>
      </c>
      <c r="E111" s="93" t="s">
        <v>281</v>
      </c>
    </row>
    <row r="112" spans="1:5" x14ac:dyDescent="0.25">
      <c r="A112" s="93" t="s">
        <v>457</v>
      </c>
      <c r="B112" s="93" t="s">
        <v>458</v>
      </c>
      <c r="C112" s="93" t="s">
        <v>450</v>
      </c>
      <c r="D112" s="94" t="s">
        <v>280</v>
      </c>
      <c r="E112" s="93" t="s">
        <v>281</v>
      </c>
    </row>
    <row r="113" spans="1:5" x14ac:dyDescent="0.25">
      <c r="A113" s="93" t="s">
        <v>459</v>
      </c>
      <c r="B113" s="93" t="s">
        <v>460</v>
      </c>
      <c r="C113" s="93" t="s">
        <v>461</v>
      </c>
      <c r="D113" s="94" t="s">
        <v>280</v>
      </c>
      <c r="E113" s="93" t="s">
        <v>281</v>
      </c>
    </row>
    <row r="114" spans="1:5" x14ac:dyDescent="0.25">
      <c r="A114" s="93" t="s">
        <v>462</v>
      </c>
      <c r="B114" s="93" t="s">
        <v>463</v>
      </c>
      <c r="C114" s="93" t="s">
        <v>461</v>
      </c>
      <c r="D114" s="94" t="s">
        <v>280</v>
      </c>
      <c r="E114" s="93" t="s">
        <v>281</v>
      </c>
    </row>
    <row r="115" spans="1:5" x14ac:dyDescent="0.25">
      <c r="A115" s="93" t="s">
        <v>464</v>
      </c>
      <c r="B115" s="93" t="s">
        <v>465</v>
      </c>
      <c r="C115" s="93" t="s">
        <v>461</v>
      </c>
      <c r="D115" s="94" t="s">
        <v>280</v>
      </c>
      <c r="E115" s="93" t="s">
        <v>281</v>
      </c>
    </row>
    <row r="116" spans="1:5" x14ac:dyDescent="0.25">
      <c r="A116" s="93" t="s">
        <v>466</v>
      </c>
      <c r="B116" s="93" t="s">
        <v>467</v>
      </c>
      <c r="C116" s="93" t="s">
        <v>468</v>
      </c>
      <c r="D116" s="94" t="s">
        <v>280</v>
      </c>
      <c r="E116" s="93" t="s">
        <v>281</v>
      </c>
    </row>
    <row r="117" spans="1:5" x14ac:dyDescent="0.25">
      <c r="A117" s="93" t="s">
        <v>469</v>
      </c>
      <c r="B117" s="93" t="s">
        <v>470</v>
      </c>
      <c r="C117" s="93" t="s">
        <v>461</v>
      </c>
      <c r="D117" s="94" t="s">
        <v>280</v>
      </c>
      <c r="E117" s="93" t="s">
        <v>281</v>
      </c>
    </row>
    <row r="118" spans="1:5" x14ac:dyDescent="0.25">
      <c r="A118" s="93" t="s">
        <v>471</v>
      </c>
      <c r="B118" s="93" t="s">
        <v>472</v>
      </c>
      <c r="C118" s="93" t="s">
        <v>473</v>
      </c>
      <c r="D118" s="94" t="s">
        <v>280</v>
      </c>
      <c r="E118" s="93" t="s">
        <v>281</v>
      </c>
    </row>
    <row r="119" spans="1:5" x14ac:dyDescent="0.25">
      <c r="A119" s="93" t="s">
        <v>474</v>
      </c>
      <c r="B119" s="93" t="s">
        <v>475</v>
      </c>
      <c r="C119" s="93" t="s">
        <v>473</v>
      </c>
      <c r="D119" s="94" t="s">
        <v>280</v>
      </c>
      <c r="E119" s="93" t="s">
        <v>281</v>
      </c>
    </row>
    <row r="120" spans="1:5" x14ac:dyDescent="0.25">
      <c r="A120" s="93" t="s">
        <v>476</v>
      </c>
      <c r="B120" s="93" t="s">
        <v>477</v>
      </c>
      <c r="C120" s="93" t="s">
        <v>473</v>
      </c>
      <c r="D120" s="94" t="s">
        <v>280</v>
      </c>
      <c r="E120" s="93" t="s">
        <v>281</v>
      </c>
    </row>
    <row r="121" spans="1:5" x14ac:dyDescent="0.25">
      <c r="A121" s="93" t="s">
        <v>478</v>
      </c>
      <c r="B121" s="93" t="s">
        <v>479</v>
      </c>
      <c r="C121" s="93" t="s">
        <v>473</v>
      </c>
      <c r="D121" s="94" t="s">
        <v>280</v>
      </c>
      <c r="E121" s="93" t="s">
        <v>281</v>
      </c>
    </row>
    <row r="122" spans="1:5" x14ac:dyDescent="0.25">
      <c r="A122" s="93" t="s">
        <v>480</v>
      </c>
      <c r="B122" s="93" t="s">
        <v>481</v>
      </c>
      <c r="C122" s="93" t="s">
        <v>482</v>
      </c>
      <c r="D122" s="94" t="s">
        <v>280</v>
      </c>
      <c r="E122" s="93" t="s">
        <v>281</v>
      </c>
    </row>
    <row r="123" spans="1:5" x14ac:dyDescent="0.25">
      <c r="A123" s="93" t="s">
        <v>483</v>
      </c>
      <c r="B123" s="93" t="s">
        <v>484</v>
      </c>
      <c r="C123" s="93" t="s">
        <v>485</v>
      </c>
      <c r="D123" s="94" t="s">
        <v>280</v>
      </c>
      <c r="E123" s="93" t="s">
        <v>281</v>
      </c>
    </row>
    <row r="124" spans="1:5" x14ac:dyDescent="0.25">
      <c r="A124" s="93" t="s">
        <v>486</v>
      </c>
      <c r="B124" s="93" t="s">
        <v>487</v>
      </c>
      <c r="C124" s="93" t="s">
        <v>488</v>
      </c>
      <c r="D124" s="94" t="s">
        <v>280</v>
      </c>
      <c r="E124" s="93" t="s">
        <v>281</v>
      </c>
    </row>
    <row r="125" spans="1:5" x14ac:dyDescent="0.25">
      <c r="A125" s="93" t="s">
        <v>489</v>
      </c>
      <c r="B125" s="93" t="s">
        <v>490</v>
      </c>
      <c r="C125" s="93" t="s">
        <v>491</v>
      </c>
      <c r="D125" s="94" t="s">
        <v>280</v>
      </c>
      <c r="E125" s="93" t="s">
        <v>281</v>
      </c>
    </row>
    <row r="126" spans="1:5" x14ac:dyDescent="0.25">
      <c r="A126" s="93" t="s">
        <v>492</v>
      </c>
      <c r="B126" s="93" t="s">
        <v>493</v>
      </c>
      <c r="C126" s="93" t="s">
        <v>494</v>
      </c>
      <c r="D126" s="94" t="s">
        <v>280</v>
      </c>
      <c r="E126" s="93" t="s">
        <v>281</v>
      </c>
    </row>
    <row r="127" spans="1:5" x14ac:dyDescent="0.25">
      <c r="A127" s="93" t="s">
        <v>495</v>
      </c>
      <c r="B127" s="93" t="s">
        <v>496</v>
      </c>
      <c r="C127" s="93" t="s">
        <v>497</v>
      </c>
      <c r="D127" s="94" t="s">
        <v>280</v>
      </c>
      <c r="E127" s="93" t="s">
        <v>281</v>
      </c>
    </row>
    <row r="128" spans="1:5" x14ac:dyDescent="0.25">
      <c r="A128" s="93" t="s">
        <v>498</v>
      </c>
      <c r="B128" s="93" t="s">
        <v>499</v>
      </c>
      <c r="C128" s="93" t="s">
        <v>497</v>
      </c>
      <c r="D128" s="94" t="s">
        <v>280</v>
      </c>
      <c r="E128" s="93" t="s">
        <v>281</v>
      </c>
    </row>
    <row r="129" spans="1:5" x14ac:dyDescent="0.25">
      <c r="A129" s="93" t="s">
        <v>500</v>
      </c>
      <c r="B129" s="93" t="s">
        <v>501</v>
      </c>
      <c r="C129" s="93" t="s">
        <v>502</v>
      </c>
      <c r="D129" s="94" t="s">
        <v>280</v>
      </c>
      <c r="E129" s="93" t="s">
        <v>281</v>
      </c>
    </row>
    <row r="130" spans="1:5" x14ac:dyDescent="0.25">
      <c r="A130" s="93" t="s">
        <v>503</v>
      </c>
      <c r="B130" s="93" t="s">
        <v>504</v>
      </c>
      <c r="C130" s="93" t="s">
        <v>502</v>
      </c>
      <c r="D130" s="94" t="s">
        <v>280</v>
      </c>
      <c r="E130" s="93" t="s">
        <v>281</v>
      </c>
    </row>
    <row r="131" spans="1:5" x14ac:dyDescent="0.25">
      <c r="A131" s="93" t="s">
        <v>505</v>
      </c>
      <c r="B131" s="93" t="s">
        <v>506</v>
      </c>
      <c r="C131" s="93" t="s">
        <v>279</v>
      </c>
      <c r="D131" s="94" t="s">
        <v>507</v>
      </c>
      <c r="E131" s="93" t="s">
        <v>508</v>
      </c>
    </row>
    <row r="132" spans="1:5" x14ac:dyDescent="0.25">
      <c r="A132" s="93" t="s">
        <v>509</v>
      </c>
      <c r="B132" s="93" t="s">
        <v>510</v>
      </c>
      <c r="C132" s="93" t="s">
        <v>289</v>
      </c>
      <c r="D132" s="94" t="s">
        <v>507</v>
      </c>
      <c r="E132" s="93" t="s">
        <v>508</v>
      </c>
    </row>
    <row r="133" spans="1:5" x14ac:dyDescent="0.25">
      <c r="A133" s="93" t="s">
        <v>511</v>
      </c>
      <c r="B133" s="93" t="s">
        <v>512</v>
      </c>
      <c r="C133" s="93" t="s">
        <v>289</v>
      </c>
      <c r="D133" s="94" t="s">
        <v>507</v>
      </c>
      <c r="E133" s="93" t="s">
        <v>508</v>
      </c>
    </row>
    <row r="134" spans="1:5" x14ac:dyDescent="0.25">
      <c r="A134" s="93" t="s">
        <v>513</v>
      </c>
      <c r="B134" s="93" t="s">
        <v>514</v>
      </c>
      <c r="C134" s="93" t="s">
        <v>515</v>
      </c>
      <c r="D134" s="94" t="s">
        <v>507</v>
      </c>
      <c r="E134" s="93" t="s">
        <v>508</v>
      </c>
    </row>
    <row r="135" spans="1:5" x14ac:dyDescent="0.25">
      <c r="A135" s="93" t="s">
        <v>516</v>
      </c>
      <c r="B135" s="93" t="s">
        <v>517</v>
      </c>
      <c r="C135" s="93" t="s">
        <v>515</v>
      </c>
      <c r="D135" s="94" t="s">
        <v>507</v>
      </c>
      <c r="E135" s="93" t="s">
        <v>508</v>
      </c>
    </row>
    <row r="136" spans="1:5" x14ac:dyDescent="0.25">
      <c r="A136" s="93" t="s">
        <v>518</v>
      </c>
      <c r="B136" s="93" t="s">
        <v>519</v>
      </c>
      <c r="C136" s="93" t="s">
        <v>515</v>
      </c>
      <c r="D136" s="94" t="s">
        <v>507</v>
      </c>
      <c r="E136" s="93" t="s">
        <v>508</v>
      </c>
    </row>
    <row r="137" spans="1:5" x14ac:dyDescent="0.25">
      <c r="A137" s="93" t="s">
        <v>520</v>
      </c>
      <c r="B137" s="93" t="s">
        <v>521</v>
      </c>
      <c r="C137" s="93" t="s">
        <v>292</v>
      </c>
      <c r="D137" s="94" t="s">
        <v>507</v>
      </c>
      <c r="E137" s="93" t="s">
        <v>508</v>
      </c>
    </row>
    <row r="138" spans="1:5" x14ac:dyDescent="0.25">
      <c r="A138" s="93" t="s">
        <v>522</v>
      </c>
      <c r="B138" s="93" t="s">
        <v>523</v>
      </c>
      <c r="C138" s="93" t="s">
        <v>292</v>
      </c>
      <c r="D138" s="94" t="s">
        <v>507</v>
      </c>
      <c r="E138" s="93" t="s">
        <v>508</v>
      </c>
    </row>
    <row r="139" spans="1:5" x14ac:dyDescent="0.25">
      <c r="A139" s="93" t="s">
        <v>524</v>
      </c>
      <c r="B139" s="93" t="s">
        <v>525</v>
      </c>
      <c r="C139" s="93" t="s">
        <v>292</v>
      </c>
      <c r="D139" s="94" t="s">
        <v>507</v>
      </c>
      <c r="E139" s="93" t="s">
        <v>508</v>
      </c>
    </row>
    <row r="140" spans="1:5" x14ac:dyDescent="0.25">
      <c r="A140" s="93" t="s">
        <v>526</v>
      </c>
      <c r="B140" s="93" t="s">
        <v>527</v>
      </c>
      <c r="C140" s="93" t="s">
        <v>300</v>
      </c>
      <c r="D140" s="94" t="s">
        <v>507</v>
      </c>
      <c r="E140" s="93" t="s">
        <v>508</v>
      </c>
    </row>
    <row r="141" spans="1:5" x14ac:dyDescent="0.25">
      <c r="A141" s="93" t="s">
        <v>528</v>
      </c>
      <c r="B141" s="93" t="s">
        <v>529</v>
      </c>
      <c r="C141" s="93" t="s">
        <v>381</v>
      </c>
      <c r="D141" s="94" t="s">
        <v>507</v>
      </c>
      <c r="E141" s="93" t="s">
        <v>508</v>
      </c>
    </row>
    <row r="142" spans="1:5" x14ac:dyDescent="0.25">
      <c r="A142" s="93" t="s">
        <v>530</v>
      </c>
      <c r="B142" s="93" t="s">
        <v>531</v>
      </c>
      <c r="C142" s="93" t="s">
        <v>381</v>
      </c>
      <c r="D142" s="94" t="s">
        <v>507</v>
      </c>
      <c r="E142" s="93" t="s">
        <v>508</v>
      </c>
    </row>
    <row r="143" spans="1:5" x14ac:dyDescent="0.25">
      <c r="A143" s="93" t="s">
        <v>532</v>
      </c>
      <c r="B143" s="93" t="s">
        <v>533</v>
      </c>
      <c r="C143" s="93" t="s">
        <v>381</v>
      </c>
      <c r="D143" s="94" t="s">
        <v>507</v>
      </c>
      <c r="E143" s="93" t="s">
        <v>508</v>
      </c>
    </row>
    <row r="144" spans="1:5" x14ac:dyDescent="0.25">
      <c r="A144" s="93" t="s">
        <v>534</v>
      </c>
      <c r="B144" s="93" t="s">
        <v>535</v>
      </c>
      <c r="C144" s="93" t="s">
        <v>536</v>
      </c>
      <c r="D144" s="94" t="s">
        <v>507</v>
      </c>
      <c r="E144" s="93" t="s">
        <v>508</v>
      </c>
    </row>
    <row r="145" spans="1:5" x14ac:dyDescent="0.25">
      <c r="A145" s="93" t="s">
        <v>537</v>
      </c>
      <c r="B145" s="93" t="s">
        <v>538</v>
      </c>
      <c r="C145" s="93" t="s">
        <v>381</v>
      </c>
      <c r="D145" s="94" t="s">
        <v>507</v>
      </c>
      <c r="E145" s="93" t="s">
        <v>508</v>
      </c>
    </row>
    <row r="146" spans="1:5" x14ac:dyDescent="0.25">
      <c r="A146" s="93" t="s">
        <v>539</v>
      </c>
      <c r="B146" s="93" t="s">
        <v>540</v>
      </c>
      <c r="C146" s="93" t="s">
        <v>536</v>
      </c>
      <c r="D146" s="94" t="s">
        <v>507</v>
      </c>
      <c r="E146" s="93" t="s">
        <v>508</v>
      </c>
    </row>
    <row r="147" spans="1:5" x14ac:dyDescent="0.25">
      <c r="A147" s="93" t="s">
        <v>541</v>
      </c>
      <c r="B147" s="93" t="s">
        <v>542</v>
      </c>
      <c r="C147" s="93" t="s">
        <v>536</v>
      </c>
      <c r="D147" s="94" t="s">
        <v>507</v>
      </c>
      <c r="E147" s="93" t="s">
        <v>508</v>
      </c>
    </row>
    <row r="148" spans="1:5" x14ac:dyDescent="0.25">
      <c r="A148" s="93" t="s">
        <v>543</v>
      </c>
      <c r="B148" s="93" t="s">
        <v>544</v>
      </c>
      <c r="C148" s="93" t="s">
        <v>384</v>
      </c>
      <c r="D148" s="94" t="s">
        <v>507</v>
      </c>
      <c r="E148" s="93" t="s">
        <v>508</v>
      </c>
    </row>
    <row r="149" spans="1:5" x14ac:dyDescent="0.25">
      <c r="A149" s="93" t="s">
        <v>545</v>
      </c>
      <c r="B149" s="93" t="s">
        <v>546</v>
      </c>
      <c r="C149" s="93" t="s">
        <v>390</v>
      </c>
      <c r="D149" s="94" t="s">
        <v>507</v>
      </c>
      <c r="E149" s="93" t="s">
        <v>508</v>
      </c>
    </row>
    <row r="150" spans="1:5" x14ac:dyDescent="0.25">
      <c r="A150" s="93" t="s">
        <v>547</v>
      </c>
      <c r="B150" s="93" t="s">
        <v>548</v>
      </c>
      <c r="C150" s="93" t="s">
        <v>390</v>
      </c>
      <c r="D150" s="94" t="s">
        <v>507</v>
      </c>
      <c r="E150" s="93" t="s">
        <v>508</v>
      </c>
    </row>
    <row r="151" spans="1:5" x14ac:dyDescent="0.25">
      <c r="A151" s="93" t="s">
        <v>549</v>
      </c>
      <c r="B151" s="93" t="s">
        <v>550</v>
      </c>
      <c r="C151" s="93" t="s">
        <v>415</v>
      </c>
      <c r="D151" s="94" t="s">
        <v>507</v>
      </c>
      <c r="E151" s="93" t="s">
        <v>508</v>
      </c>
    </row>
    <row r="152" spans="1:5" x14ac:dyDescent="0.25">
      <c r="A152" s="93" t="s">
        <v>551</v>
      </c>
      <c r="B152" s="93" t="s">
        <v>552</v>
      </c>
      <c r="C152" s="93" t="s">
        <v>553</v>
      </c>
      <c r="D152" s="94" t="s">
        <v>507</v>
      </c>
      <c r="E152" s="93" t="s">
        <v>508</v>
      </c>
    </row>
    <row r="153" spans="1:5" x14ac:dyDescent="0.25">
      <c r="A153" s="93" t="s">
        <v>554</v>
      </c>
      <c r="B153" s="93" t="s">
        <v>555</v>
      </c>
      <c r="C153" s="93" t="s">
        <v>556</v>
      </c>
      <c r="D153" s="94" t="s">
        <v>507</v>
      </c>
      <c r="E153" s="93" t="s">
        <v>508</v>
      </c>
    </row>
    <row r="154" spans="1:5" x14ac:dyDescent="0.25">
      <c r="A154" s="93" t="s">
        <v>557</v>
      </c>
      <c r="B154" s="93" t="s">
        <v>558</v>
      </c>
      <c r="C154" s="93" t="s">
        <v>559</v>
      </c>
      <c r="D154" s="94" t="s">
        <v>507</v>
      </c>
      <c r="E154" s="93" t="s">
        <v>508</v>
      </c>
    </row>
    <row r="155" spans="1:5" x14ac:dyDescent="0.25">
      <c r="A155" s="93" t="s">
        <v>560</v>
      </c>
      <c r="B155" s="93" t="s">
        <v>561</v>
      </c>
      <c r="C155" s="93" t="s">
        <v>562</v>
      </c>
      <c r="D155" s="94" t="s">
        <v>507</v>
      </c>
      <c r="E155" s="93" t="s">
        <v>508</v>
      </c>
    </row>
    <row r="156" spans="1:5" x14ac:dyDescent="0.25">
      <c r="A156" s="93" t="s">
        <v>563</v>
      </c>
      <c r="B156" s="93" t="s">
        <v>564</v>
      </c>
      <c r="C156" s="93" t="s">
        <v>562</v>
      </c>
      <c r="D156" s="94" t="s">
        <v>507</v>
      </c>
      <c r="E156" s="93" t="s">
        <v>508</v>
      </c>
    </row>
    <row r="157" spans="1:5" x14ac:dyDescent="0.25">
      <c r="A157" s="93" t="s">
        <v>565</v>
      </c>
      <c r="B157" s="93" t="s">
        <v>566</v>
      </c>
      <c r="C157" s="93" t="s">
        <v>562</v>
      </c>
      <c r="D157" s="94" t="s">
        <v>507</v>
      </c>
      <c r="E157" s="93" t="s">
        <v>508</v>
      </c>
    </row>
    <row r="158" spans="1:5" x14ac:dyDescent="0.25">
      <c r="A158" s="93" t="s">
        <v>567</v>
      </c>
      <c r="B158" s="93" t="s">
        <v>568</v>
      </c>
      <c r="C158" s="93" t="s">
        <v>562</v>
      </c>
      <c r="D158" s="94" t="s">
        <v>507</v>
      </c>
      <c r="E158" s="93" t="s">
        <v>508</v>
      </c>
    </row>
    <row r="159" spans="1:5" x14ac:dyDescent="0.25">
      <c r="A159" s="93" t="s">
        <v>569</v>
      </c>
      <c r="B159" s="93" t="s">
        <v>570</v>
      </c>
      <c r="C159" s="93" t="s">
        <v>571</v>
      </c>
      <c r="D159" s="94" t="s">
        <v>507</v>
      </c>
      <c r="E159" s="93" t="s">
        <v>508</v>
      </c>
    </row>
    <row r="160" spans="1:5" x14ac:dyDescent="0.25">
      <c r="A160" s="93" t="s">
        <v>572</v>
      </c>
      <c r="B160" s="93" t="s">
        <v>573</v>
      </c>
      <c r="C160" s="93" t="s">
        <v>574</v>
      </c>
      <c r="D160" s="94" t="s">
        <v>507</v>
      </c>
      <c r="E160" s="93" t="s">
        <v>508</v>
      </c>
    </row>
    <row r="161" spans="1:5" x14ac:dyDescent="0.25">
      <c r="A161" s="93" t="s">
        <v>575</v>
      </c>
      <c r="B161" s="93" t="s">
        <v>576</v>
      </c>
      <c r="C161" s="93" t="s">
        <v>577</v>
      </c>
      <c r="D161" s="94" t="s">
        <v>507</v>
      </c>
      <c r="E161" s="93" t="s">
        <v>508</v>
      </c>
    </row>
    <row r="162" spans="1:5" x14ac:dyDescent="0.25">
      <c r="A162" s="93" t="s">
        <v>578</v>
      </c>
      <c r="B162" s="93" t="s">
        <v>579</v>
      </c>
      <c r="C162" s="93" t="s">
        <v>580</v>
      </c>
      <c r="D162" s="94" t="s">
        <v>507</v>
      </c>
      <c r="E162" s="93" t="s">
        <v>508</v>
      </c>
    </row>
    <row r="163" spans="1:5" x14ac:dyDescent="0.25">
      <c r="A163" s="93" t="s">
        <v>581</v>
      </c>
      <c r="B163" s="93" t="s">
        <v>582</v>
      </c>
      <c r="C163" s="93" t="s">
        <v>583</v>
      </c>
      <c r="D163" s="94" t="s">
        <v>507</v>
      </c>
      <c r="E163" s="93" t="s">
        <v>508</v>
      </c>
    </row>
    <row r="164" spans="1:5" x14ac:dyDescent="0.25">
      <c r="A164" s="93" t="s">
        <v>584</v>
      </c>
      <c r="B164" s="93" t="s">
        <v>585</v>
      </c>
      <c r="C164" s="93" t="s">
        <v>439</v>
      </c>
      <c r="D164" s="94" t="s">
        <v>507</v>
      </c>
      <c r="E164" s="93" t="s">
        <v>508</v>
      </c>
    </row>
    <row r="165" spans="1:5" x14ac:dyDescent="0.25">
      <c r="A165" s="93" t="s">
        <v>586</v>
      </c>
      <c r="B165" s="93" t="s">
        <v>587</v>
      </c>
      <c r="C165" s="93" t="s">
        <v>588</v>
      </c>
      <c r="D165" s="94" t="s">
        <v>507</v>
      </c>
      <c r="E165" s="93" t="s">
        <v>508</v>
      </c>
    </row>
    <row r="166" spans="1:5" x14ac:dyDescent="0.25">
      <c r="A166" s="93" t="s">
        <v>589</v>
      </c>
      <c r="B166" s="93" t="s">
        <v>590</v>
      </c>
      <c r="C166" s="93" t="s">
        <v>588</v>
      </c>
      <c r="D166" s="94" t="s">
        <v>507</v>
      </c>
      <c r="E166" s="93" t="s">
        <v>508</v>
      </c>
    </row>
    <row r="167" spans="1:5" x14ac:dyDescent="0.25">
      <c r="A167" s="93" t="s">
        <v>591</v>
      </c>
      <c r="B167" s="93" t="s">
        <v>592</v>
      </c>
      <c r="C167" s="93" t="s">
        <v>593</v>
      </c>
      <c r="D167" s="94" t="s">
        <v>507</v>
      </c>
      <c r="E167" s="93" t="s">
        <v>508</v>
      </c>
    </row>
    <row r="168" spans="1:5" x14ac:dyDescent="0.25">
      <c r="A168" s="93" t="s">
        <v>594</v>
      </c>
      <c r="B168" s="93" t="s">
        <v>595</v>
      </c>
      <c r="C168" s="93" t="s">
        <v>593</v>
      </c>
      <c r="D168" s="94" t="s">
        <v>507</v>
      </c>
      <c r="E168" s="93" t="s">
        <v>508</v>
      </c>
    </row>
    <row r="169" spans="1:5" x14ac:dyDescent="0.25">
      <c r="A169" s="93" t="s">
        <v>596</v>
      </c>
      <c r="B169" s="93" t="s">
        <v>597</v>
      </c>
      <c r="C169" s="93" t="s">
        <v>598</v>
      </c>
      <c r="D169" s="94" t="s">
        <v>507</v>
      </c>
      <c r="E169" s="93" t="s">
        <v>508</v>
      </c>
    </row>
    <row r="170" spans="1:5" x14ac:dyDescent="0.25">
      <c r="A170" s="93" t="s">
        <v>599</v>
      </c>
      <c r="B170" s="93" t="s">
        <v>600</v>
      </c>
      <c r="C170" s="93" t="s">
        <v>598</v>
      </c>
      <c r="D170" s="94" t="s">
        <v>507</v>
      </c>
      <c r="E170" s="93" t="s">
        <v>508</v>
      </c>
    </row>
    <row r="171" spans="1:5" x14ac:dyDescent="0.25">
      <c r="A171" s="93" t="s">
        <v>601</v>
      </c>
      <c r="B171" s="93" t="s">
        <v>602</v>
      </c>
      <c r="C171" s="93" t="s">
        <v>598</v>
      </c>
      <c r="D171" s="94" t="s">
        <v>507</v>
      </c>
      <c r="E171" s="93" t="s">
        <v>508</v>
      </c>
    </row>
    <row r="172" spans="1:5" x14ac:dyDescent="0.25">
      <c r="A172" s="93" t="s">
        <v>603</v>
      </c>
      <c r="B172" s="93" t="s">
        <v>604</v>
      </c>
      <c r="C172" s="93" t="s">
        <v>598</v>
      </c>
      <c r="D172" s="94" t="s">
        <v>507</v>
      </c>
      <c r="E172" s="93" t="s">
        <v>508</v>
      </c>
    </row>
    <row r="173" spans="1:5" x14ac:dyDescent="0.25">
      <c r="A173" s="93" t="s">
        <v>605</v>
      </c>
      <c r="B173" s="93" t="s">
        <v>606</v>
      </c>
      <c r="C173" s="93" t="s">
        <v>494</v>
      </c>
      <c r="D173" s="94" t="s">
        <v>507</v>
      </c>
      <c r="E173" s="93" t="s">
        <v>508</v>
      </c>
    </row>
    <row r="174" spans="1:5" x14ac:dyDescent="0.25">
      <c r="A174" s="93" t="s">
        <v>607</v>
      </c>
      <c r="B174" s="93" t="s">
        <v>608</v>
      </c>
      <c r="C174" s="93" t="s">
        <v>497</v>
      </c>
      <c r="D174" s="94" t="s">
        <v>507</v>
      </c>
      <c r="E174" s="93" t="s">
        <v>508</v>
      </c>
    </row>
    <row r="175" spans="1:5" x14ac:dyDescent="0.25">
      <c r="A175" s="93" t="s">
        <v>609</v>
      </c>
      <c r="B175" s="93" t="s">
        <v>610</v>
      </c>
      <c r="C175" s="93" t="s">
        <v>497</v>
      </c>
      <c r="D175" s="94" t="s">
        <v>507</v>
      </c>
      <c r="E175" s="93" t="s">
        <v>508</v>
      </c>
    </row>
    <row r="176" spans="1:5" x14ac:dyDescent="0.25">
      <c r="A176" s="93" t="s">
        <v>611</v>
      </c>
      <c r="B176" s="93" t="s">
        <v>612</v>
      </c>
      <c r="C176" s="93" t="s">
        <v>497</v>
      </c>
      <c r="D176" s="94" t="s">
        <v>507</v>
      </c>
      <c r="E176" s="93" t="s">
        <v>508</v>
      </c>
    </row>
    <row r="177" spans="1:5" x14ac:dyDescent="0.25">
      <c r="A177" s="93" t="s">
        <v>613</v>
      </c>
      <c r="B177" s="93" t="s">
        <v>614</v>
      </c>
      <c r="C177" s="93" t="s">
        <v>615</v>
      </c>
      <c r="D177" s="94" t="s">
        <v>507</v>
      </c>
      <c r="E177" s="93" t="s">
        <v>508</v>
      </c>
    </row>
    <row r="178" spans="1:5" x14ac:dyDescent="0.25">
      <c r="A178" s="93" t="s">
        <v>616</v>
      </c>
      <c r="B178" s="93" t="s">
        <v>617</v>
      </c>
      <c r="C178" s="93" t="s">
        <v>618</v>
      </c>
      <c r="D178" s="94" t="s">
        <v>507</v>
      </c>
      <c r="E178" s="93" t="s">
        <v>508</v>
      </c>
    </row>
    <row r="179" spans="1:5" x14ac:dyDescent="0.25">
      <c r="A179" s="93" t="s">
        <v>619</v>
      </c>
      <c r="B179" s="93" t="s">
        <v>620</v>
      </c>
      <c r="C179" s="93" t="s">
        <v>618</v>
      </c>
      <c r="D179" s="94" t="s">
        <v>507</v>
      </c>
      <c r="E179" s="93" t="s">
        <v>508</v>
      </c>
    </row>
    <row r="180" spans="1:5" x14ac:dyDescent="0.25">
      <c r="A180" s="93" t="s">
        <v>621</v>
      </c>
      <c r="B180" s="93" t="s">
        <v>622</v>
      </c>
      <c r="C180" s="93" t="s">
        <v>615</v>
      </c>
      <c r="D180" s="94" t="s">
        <v>507</v>
      </c>
      <c r="E180" s="93" t="s">
        <v>508</v>
      </c>
    </row>
    <row r="181" spans="1:5" x14ac:dyDescent="0.25">
      <c r="A181" s="93" t="s">
        <v>623</v>
      </c>
      <c r="B181" s="93" t="s">
        <v>624</v>
      </c>
      <c r="C181" s="93" t="s">
        <v>625</v>
      </c>
      <c r="D181" s="94" t="s">
        <v>507</v>
      </c>
      <c r="E181" s="93" t="s">
        <v>508</v>
      </c>
    </row>
    <row r="182" spans="1:5" x14ac:dyDescent="0.25">
      <c r="A182" s="93" t="s">
        <v>626</v>
      </c>
      <c r="B182" s="93" t="s">
        <v>627</v>
      </c>
      <c r="C182" s="93" t="s">
        <v>628</v>
      </c>
      <c r="D182" s="94" t="s">
        <v>507</v>
      </c>
      <c r="E182" s="93" t="s">
        <v>508</v>
      </c>
    </row>
    <row r="183" spans="1:5" x14ac:dyDescent="0.25">
      <c r="A183" s="93" t="s">
        <v>629</v>
      </c>
      <c r="B183" s="93" t="s">
        <v>630</v>
      </c>
      <c r="C183" s="93" t="s">
        <v>631</v>
      </c>
      <c r="D183" s="94" t="s">
        <v>632</v>
      </c>
      <c r="E183" s="93" t="s">
        <v>633</v>
      </c>
    </row>
    <row r="184" spans="1:5" x14ac:dyDescent="0.25">
      <c r="A184" s="93" t="s">
        <v>634</v>
      </c>
      <c r="B184" s="93" t="s">
        <v>635</v>
      </c>
      <c r="C184" s="93" t="s">
        <v>279</v>
      </c>
      <c r="D184" s="94" t="s">
        <v>632</v>
      </c>
      <c r="E184" s="93" t="s">
        <v>633</v>
      </c>
    </row>
    <row r="185" spans="1:5" x14ac:dyDescent="0.25">
      <c r="A185" s="93" t="s">
        <v>636</v>
      </c>
      <c r="B185" s="93" t="s">
        <v>637</v>
      </c>
      <c r="C185" s="93" t="s">
        <v>638</v>
      </c>
      <c r="D185" s="94" t="s">
        <v>632</v>
      </c>
      <c r="E185" s="93" t="s">
        <v>633</v>
      </c>
    </row>
    <row r="186" spans="1:5" x14ac:dyDescent="0.25">
      <c r="A186" s="93" t="s">
        <v>639</v>
      </c>
      <c r="B186" s="93" t="s">
        <v>640</v>
      </c>
      <c r="C186" s="93" t="s">
        <v>641</v>
      </c>
      <c r="D186" s="94" t="s">
        <v>632</v>
      </c>
      <c r="E186" s="93" t="s">
        <v>633</v>
      </c>
    </row>
    <row r="187" spans="1:5" x14ac:dyDescent="0.25">
      <c r="A187" s="93" t="s">
        <v>642</v>
      </c>
      <c r="B187" s="93" t="s">
        <v>643</v>
      </c>
      <c r="C187" s="93" t="s">
        <v>644</v>
      </c>
      <c r="D187" s="94" t="s">
        <v>632</v>
      </c>
      <c r="E187" s="93" t="s">
        <v>633</v>
      </c>
    </row>
    <row r="188" spans="1:5" x14ac:dyDescent="0.25">
      <c r="A188" s="93" t="s">
        <v>645</v>
      </c>
      <c r="B188" s="93" t="s">
        <v>646</v>
      </c>
      <c r="C188" s="93" t="s">
        <v>644</v>
      </c>
      <c r="D188" s="94" t="s">
        <v>632</v>
      </c>
      <c r="E188" s="93" t="s">
        <v>633</v>
      </c>
    </row>
    <row r="189" spans="1:5" x14ac:dyDescent="0.25">
      <c r="A189" s="93" t="s">
        <v>647</v>
      </c>
      <c r="B189" s="93" t="s">
        <v>648</v>
      </c>
      <c r="C189" s="93" t="s">
        <v>649</v>
      </c>
      <c r="D189" s="94" t="s">
        <v>632</v>
      </c>
      <c r="E189" s="93" t="s">
        <v>633</v>
      </c>
    </row>
    <row r="190" spans="1:5" x14ac:dyDescent="0.25">
      <c r="A190" s="93" t="s">
        <v>650</v>
      </c>
      <c r="B190" s="93" t="s">
        <v>651</v>
      </c>
      <c r="C190" s="93" t="s">
        <v>652</v>
      </c>
      <c r="D190" s="94" t="s">
        <v>632</v>
      </c>
      <c r="E190" s="93" t="s">
        <v>633</v>
      </c>
    </row>
    <row r="191" spans="1:5" x14ac:dyDescent="0.25">
      <c r="A191" s="93" t="s">
        <v>653</v>
      </c>
      <c r="B191" s="93" t="s">
        <v>654</v>
      </c>
      <c r="C191" s="93" t="s">
        <v>652</v>
      </c>
      <c r="D191" s="94" t="s">
        <v>632</v>
      </c>
      <c r="E191" s="93" t="s">
        <v>633</v>
      </c>
    </row>
    <row r="192" spans="1:5" x14ac:dyDescent="0.25">
      <c r="A192" s="93" t="s">
        <v>655</v>
      </c>
      <c r="B192" s="93" t="s">
        <v>656</v>
      </c>
      <c r="C192" s="93" t="s">
        <v>574</v>
      </c>
      <c r="D192" s="94" t="s">
        <v>632</v>
      </c>
      <c r="E192" s="93" t="s">
        <v>633</v>
      </c>
    </row>
    <row r="193" spans="1:5" x14ac:dyDescent="0.25">
      <c r="A193" s="93" t="s">
        <v>657</v>
      </c>
      <c r="B193" s="93" t="s">
        <v>658</v>
      </c>
      <c r="C193" s="93" t="s">
        <v>659</v>
      </c>
      <c r="D193" s="94" t="s">
        <v>632</v>
      </c>
      <c r="E193" s="93" t="s">
        <v>633</v>
      </c>
    </row>
    <row r="194" spans="1:5" x14ac:dyDescent="0.25">
      <c r="A194" s="93" t="s">
        <v>660</v>
      </c>
      <c r="B194" s="93" t="s">
        <v>661</v>
      </c>
      <c r="C194" s="93" t="s">
        <v>662</v>
      </c>
      <c r="D194" s="94" t="s">
        <v>632</v>
      </c>
      <c r="E194" s="93" t="s">
        <v>633</v>
      </c>
    </row>
    <row r="195" spans="1:5" x14ac:dyDescent="0.25">
      <c r="A195" s="93" t="s">
        <v>663</v>
      </c>
      <c r="B195" s="93" t="s">
        <v>664</v>
      </c>
      <c r="C195" s="93" t="s">
        <v>665</v>
      </c>
      <c r="D195" s="94" t="s">
        <v>632</v>
      </c>
      <c r="E195" s="93" t="s">
        <v>633</v>
      </c>
    </row>
    <row r="196" spans="1:5" x14ac:dyDescent="0.25">
      <c r="A196" s="93" t="s">
        <v>666</v>
      </c>
      <c r="B196" s="93" t="s">
        <v>667</v>
      </c>
      <c r="C196" s="93" t="s">
        <v>668</v>
      </c>
      <c r="D196" s="94" t="s">
        <v>632</v>
      </c>
      <c r="E196" s="93" t="s">
        <v>633</v>
      </c>
    </row>
    <row r="197" spans="1:5" x14ac:dyDescent="0.25">
      <c r="A197" s="93" t="s">
        <v>669</v>
      </c>
      <c r="B197" s="93" t="s">
        <v>670</v>
      </c>
      <c r="C197" s="93" t="s">
        <v>671</v>
      </c>
      <c r="D197" s="94" t="s">
        <v>632</v>
      </c>
      <c r="E197" s="93" t="s">
        <v>633</v>
      </c>
    </row>
    <row r="198" spans="1:5" x14ac:dyDescent="0.25">
      <c r="A198" s="93" t="s">
        <v>672</v>
      </c>
      <c r="B198" s="93" t="s">
        <v>673</v>
      </c>
      <c r="C198" s="93" t="s">
        <v>674</v>
      </c>
      <c r="D198" s="94" t="s">
        <v>632</v>
      </c>
      <c r="E198" s="93" t="s">
        <v>633</v>
      </c>
    </row>
    <row r="199" spans="1:5" x14ac:dyDescent="0.25">
      <c r="A199" s="93" t="s">
        <v>675</v>
      </c>
      <c r="B199" s="93" t="s">
        <v>676</v>
      </c>
      <c r="C199" s="93" t="s">
        <v>588</v>
      </c>
      <c r="D199" s="94" t="s">
        <v>632</v>
      </c>
      <c r="E199" s="93" t="s">
        <v>633</v>
      </c>
    </row>
    <row r="200" spans="1:5" x14ac:dyDescent="0.25">
      <c r="A200" s="93" t="s">
        <v>677</v>
      </c>
      <c r="B200" s="93" t="s">
        <v>678</v>
      </c>
      <c r="C200" s="93" t="s">
        <v>679</v>
      </c>
      <c r="D200" s="94" t="s">
        <v>632</v>
      </c>
      <c r="E200" s="93" t="s">
        <v>633</v>
      </c>
    </row>
    <row r="201" spans="1:5" x14ac:dyDescent="0.25">
      <c r="A201" s="93" t="s">
        <v>680</v>
      </c>
      <c r="B201" s="93" t="s">
        <v>681</v>
      </c>
      <c r="C201" s="93" t="s">
        <v>593</v>
      </c>
      <c r="D201" s="94" t="s">
        <v>632</v>
      </c>
      <c r="E201" s="93" t="s">
        <v>633</v>
      </c>
    </row>
    <row r="202" spans="1:5" x14ac:dyDescent="0.25">
      <c r="A202" s="93" t="s">
        <v>682</v>
      </c>
      <c r="B202" s="93" t="s">
        <v>683</v>
      </c>
      <c r="C202" s="93" t="s">
        <v>684</v>
      </c>
      <c r="D202" s="94" t="s">
        <v>632</v>
      </c>
      <c r="E202" s="93" t="s">
        <v>633</v>
      </c>
    </row>
    <row r="203" spans="1:5" x14ac:dyDescent="0.25">
      <c r="A203" s="93" t="s">
        <v>685</v>
      </c>
      <c r="B203" s="93" t="s">
        <v>686</v>
      </c>
      <c r="C203" s="93" t="s">
        <v>684</v>
      </c>
      <c r="D203" s="94" t="s">
        <v>632</v>
      </c>
      <c r="E203" s="93" t="s">
        <v>633</v>
      </c>
    </row>
    <row r="204" spans="1:5" x14ac:dyDescent="0.25">
      <c r="A204" s="93" t="s">
        <v>687</v>
      </c>
      <c r="B204" s="93" t="s">
        <v>688</v>
      </c>
      <c r="C204" s="93" t="s">
        <v>689</v>
      </c>
      <c r="D204" s="94" t="s">
        <v>632</v>
      </c>
      <c r="E204" s="93" t="s">
        <v>633</v>
      </c>
    </row>
    <row r="205" spans="1:5" x14ac:dyDescent="0.25">
      <c r="A205" s="93" t="s">
        <v>690</v>
      </c>
      <c r="B205" s="93" t="s">
        <v>691</v>
      </c>
      <c r="C205" s="93" t="s">
        <v>692</v>
      </c>
      <c r="D205" s="94" t="s">
        <v>632</v>
      </c>
      <c r="E205" s="93" t="s">
        <v>633</v>
      </c>
    </row>
    <row r="206" spans="1:5" x14ac:dyDescent="0.25">
      <c r="A206" s="93" t="s">
        <v>693</v>
      </c>
      <c r="B206" s="93" t="s">
        <v>694</v>
      </c>
      <c r="C206" s="93" t="s">
        <v>695</v>
      </c>
      <c r="D206" s="94">
        <v>16</v>
      </c>
      <c r="E206" s="93" t="s">
        <v>696</v>
      </c>
    </row>
    <row r="207" spans="1:5" x14ac:dyDescent="0.25">
      <c r="A207" s="93" t="s">
        <v>697</v>
      </c>
      <c r="B207" s="93" t="s">
        <v>698</v>
      </c>
      <c r="C207" s="93" t="s">
        <v>699</v>
      </c>
      <c r="D207" s="94">
        <v>16</v>
      </c>
      <c r="E207" s="93" t="s">
        <v>696</v>
      </c>
    </row>
    <row r="208" spans="1:5" x14ac:dyDescent="0.25">
      <c r="A208" s="93" t="s">
        <v>700</v>
      </c>
      <c r="B208" s="93" t="s">
        <v>701</v>
      </c>
      <c r="C208" s="93" t="s">
        <v>699</v>
      </c>
      <c r="D208" s="94">
        <v>16</v>
      </c>
      <c r="E208" s="93" t="s">
        <v>696</v>
      </c>
    </row>
    <row r="209" spans="1:5" x14ac:dyDescent="0.25">
      <c r="A209" s="93" t="s">
        <v>702</v>
      </c>
      <c r="B209" s="93" t="s">
        <v>703</v>
      </c>
      <c r="C209" s="93" t="s">
        <v>704</v>
      </c>
      <c r="D209" s="94">
        <v>16</v>
      </c>
      <c r="E209" s="93" t="s">
        <v>696</v>
      </c>
    </row>
    <row r="210" spans="1:5" x14ac:dyDescent="0.25">
      <c r="A210" s="93" t="s">
        <v>705</v>
      </c>
      <c r="B210" s="93" t="s">
        <v>706</v>
      </c>
      <c r="C210" s="93" t="s">
        <v>707</v>
      </c>
      <c r="D210" s="94">
        <v>16</v>
      </c>
      <c r="E210" s="93" t="s">
        <v>696</v>
      </c>
    </row>
    <row r="211" spans="1:5" x14ac:dyDescent="0.25">
      <c r="A211" s="93" t="s">
        <v>708</v>
      </c>
      <c r="B211" s="93" t="s">
        <v>709</v>
      </c>
      <c r="C211" s="93" t="s">
        <v>710</v>
      </c>
      <c r="D211" s="94">
        <v>16</v>
      </c>
      <c r="E211" s="93" t="s">
        <v>696</v>
      </c>
    </row>
    <row r="212" spans="1:5" x14ac:dyDescent="0.25">
      <c r="A212" s="93" t="s">
        <v>711</v>
      </c>
      <c r="B212" s="93" t="s">
        <v>712</v>
      </c>
      <c r="C212" s="93" t="s">
        <v>713</v>
      </c>
      <c r="D212" s="94">
        <v>16</v>
      </c>
      <c r="E212" s="93" t="s">
        <v>696</v>
      </c>
    </row>
    <row r="213" spans="1:5" x14ac:dyDescent="0.25">
      <c r="A213" s="93" t="s">
        <v>714</v>
      </c>
      <c r="B213" s="93" t="s">
        <v>715</v>
      </c>
      <c r="C213" s="93" t="s">
        <v>716</v>
      </c>
      <c r="D213" s="94">
        <v>16</v>
      </c>
      <c r="E213" s="93" t="s">
        <v>696</v>
      </c>
    </row>
    <row r="214" spans="1:5" x14ac:dyDescent="0.25">
      <c r="A214" s="93" t="s">
        <v>717</v>
      </c>
      <c r="B214" s="93" t="s">
        <v>718</v>
      </c>
      <c r="C214" s="93" t="s">
        <v>719</v>
      </c>
      <c r="D214" s="94">
        <v>16</v>
      </c>
      <c r="E214" s="93" t="s">
        <v>696</v>
      </c>
    </row>
    <row r="215" spans="1:5" x14ac:dyDescent="0.25">
      <c r="A215" s="93" t="s">
        <v>720</v>
      </c>
      <c r="B215" s="93" t="s">
        <v>721</v>
      </c>
      <c r="C215" s="93" t="s">
        <v>722</v>
      </c>
      <c r="D215" s="94">
        <v>16</v>
      </c>
      <c r="E215" s="93" t="s">
        <v>696</v>
      </c>
    </row>
    <row r="216" spans="1:5" x14ac:dyDescent="0.25">
      <c r="A216" s="93" t="s">
        <v>723</v>
      </c>
      <c r="B216" s="93" t="s">
        <v>724</v>
      </c>
      <c r="C216" s="93" t="s">
        <v>725</v>
      </c>
      <c r="D216" s="94">
        <v>16</v>
      </c>
      <c r="E216" s="93" t="s">
        <v>696</v>
      </c>
    </row>
    <row r="217" spans="1:5" x14ac:dyDescent="0.25">
      <c r="A217" s="93" t="s">
        <v>726</v>
      </c>
      <c r="B217" s="93" t="s">
        <v>727</v>
      </c>
      <c r="C217" s="93" t="s">
        <v>728</v>
      </c>
      <c r="D217" s="94">
        <v>16</v>
      </c>
      <c r="E217" s="93" t="s">
        <v>696</v>
      </c>
    </row>
    <row r="218" spans="1:5" x14ac:dyDescent="0.25">
      <c r="A218" s="93" t="s">
        <v>729</v>
      </c>
      <c r="B218" s="93" t="s">
        <v>730</v>
      </c>
      <c r="C218" s="93" t="s">
        <v>731</v>
      </c>
      <c r="D218" s="94">
        <v>16</v>
      </c>
      <c r="E218" s="93" t="s">
        <v>696</v>
      </c>
    </row>
    <row r="219" spans="1:5" x14ac:dyDescent="0.25">
      <c r="A219" s="93" t="s">
        <v>732</v>
      </c>
      <c r="B219" s="93" t="s">
        <v>733</v>
      </c>
      <c r="C219" s="93" t="s">
        <v>695</v>
      </c>
      <c r="D219" s="94">
        <v>16</v>
      </c>
      <c r="E219" s="93" t="s">
        <v>696</v>
      </c>
    </row>
    <row r="220" spans="1:5" x14ac:dyDescent="0.25">
      <c r="A220" s="93" t="s">
        <v>734</v>
      </c>
      <c r="B220" s="93" t="s">
        <v>735</v>
      </c>
      <c r="C220" s="93" t="s">
        <v>736</v>
      </c>
      <c r="D220" s="94">
        <v>16</v>
      </c>
      <c r="E220" s="93" t="s">
        <v>696</v>
      </c>
    </row>
    <row r="221" spans="1:5" x14ac:dyDescent="0.25">
      <c r="A221" s="93" t="s">
        <v>737</v>
      </c>
      <c r="B221" s="93" t="s">
        <v>738</v>
      </c>
      <c r="C221" s="93" t="s">
        <v>736</v>
      </c>
      <c r="D221" s="94">
        <v>16</v>
      </c>
      <c r="E221" s="93" t="s">
        <v>696</v>
      </c>
    </row>
    <row r="222" spans="1:5" x14ac:dyDescent="0.25">
      <c r="A222" s="93" t="s">
        <v>739</v>
      </c>
      <c r="B222" s="93" t="s">
        <v>740</v>
      </c>
      <c r="C222" s="93" t="s">
        <v>741</v>
      </c>
      <c r="D222" s="94">
        <v>16</v>
      </c>
      <c r="E222" s="93" t="s">
        <v>696</v>
      </c>
    </row>
    <row r="223" spans="1:5" x14ac:dyDescent="0.25">
      <c r="A223" s="93" t="s">
        <v>742</v>
      </c>
      <c r="B223" s="93" t="s">
        <v>743</v>
      </c>
      <c r="C223" s="93" t="s">
        <v>719</v>
      </c>
      <c r="D223" s="94">
        <v>16</v>
      </c>
      <c r="E223" s="93" t="s">
        <v>696</v>
      </c>
    </row>
    <row r="224" spans="1:5" x14ac:dyDescent="0.25">
      <c r="A224" s="93" t="s">
        <v>744</v>
      </c>
      <c r="B224" s="93" t="s">
        <v>745</v>
      </c>
      <c r="C224" s="93" t="s">
        <v>725</v>
      </c>
      <c r="D224" s="94">
        <v>16</v>
      </c>
      <c r="E224" s="93" t="s">
        <v>696</v>
      </c>
    </row>
    <row r="225" spans="1:5" x14ac:dyDescent="0.25">
      <c r="A225" s="93" t="s">
        <v>746</v>
      </c>
      <c r="B225" s="93" t="s">
        <v>747</v>
      </c>
      <c r="C225" s="93" t="s">
        <v>748</v>
      </c>
      <c r="D225" s="94">
        <v>16</v>
      </c>
      <c r="E225" s="93" t="s">
        <v>696</v>
      </c>
    </row>
    <row r="226" spans="1:5" x14ac:dyDescent="0.25">
      <c r="A226" s="93" t="s">
        <v>749</v>
      </c>
      <c r="B226" s="93" t="s">
        <v>750</v>
      </c>
      <c r="C226" s="93" t="s">
        <v>751</v>
      </c>
      <c r="D226" s="94">
        <v>16</v>
      </c>
      <c r="E226" s="93" t="s">
        <v>696</v>
      </c>
    </row>
    <row r="227" spans="1:5" x14ac:dyDescent="0.25">
      <c r="A227" s="93" t="s">
        <v>752</v>
      </c>
      <c r="B227" s="93" t="s">
        <v>753</v>
      </c>
      <c r="C227" s="93" t="s">
        <v>751</v>
      </c>
      <c r="D227" s="94">
        <v>16</v>
      </c>
      <c r="E227" s="93" t="s">
        <v>696</v>
      </c>
    </row>
    <row r="228" spans="1:5" x14ac:dyDescent="0.25">
      <c r="A228" s="93" t="s">
        <v>754</v>
      </c>
      <c r="B228" s="93" t="s">
        <v>755</v>
      </c>
      <c r="C228" s="93" t="s">
        <v>751</v>
      </c>
      <c r="D228" s="94">
        <v>16</v>
      </c>
      <c r="E228" s="93" t="s">
        <v>696</v>
      </c>
    </row>
    <row r="229" spans="1:5" x14ac:dyDescent="0.25">
      <c r="A229" s="93" t="s">
        <v>756</v>
      </c>
      <c r="B229" s="93" t="s">
        <v>757</v>
      </c>
      <c r="C229" s="93" t="s">
        <v>758</v>
      </c>
      <c r="D229" s="94">
        <v>16</v>
      </c>
      <c r="E229" s="93" t="s">
        <v>696</v>
      </c>
    </row>
    <row r="230" spans="1:5" x14ac:dyDescent="0.25">
      <c r="A230" s="93" t="s">
        <v>759</v>
      </c>
      <c r="B230" s="93" t="s">
        <v>760</v>
      </c>
      <c r="C230" s="93" t="s">
        <v>758</v>
      </c>
      <c r="D230" s="94">
        <v>16</v>
      </c>
      <c r="E230" s="93" t="s">
        <v>696</v>
      </c>
    </row>
    <row r="231" spans="1:5" x14ac:dyDescent="0.25">
      <c r="A231" s="93" t="s">
        <v>761</v>
      </c>
      <c r="B231" s="93" t="s">
        <v>762</v>
      </c>
      <c r="C231" s="93" t="s">
        <v>763</v>
      </c>
      <c r="D231" s="94">
        <v>16</v>
      </c>
      <c r="E231" s="93" t="s">
        <v>696</v>
      </c>
    </row>
    <row r="232" spans="1:5" x14ac:dyDescent="0.25">
      <c r="A232" s="93" t="s">
        <v>764</v>
      </c>
      <c r="B232" s="93" t="s">
        <v>765</v>
      </c>
      <c r="C232" s="93" t="s">
        <v>766</v>
      </c>
      <c r="D232" s="94">
        <v>16</v>
      </c>
      <c r="E232" s="93" t="s">
        <v>696</v>
      </c>
    </row>
    <row r="233" spans="1:5" x14ac:dyDescent="0.25">
      <c r="A233" s="93" t="s">
        <v>767</v>
      </c>
      <c r="B233" s="93" t="s">
        <v>768</v>
      </c>
      <c r="C233" s="93" t="s">
        <v>763</v>
      </c>
      <c r="D233" s="94">
        <v>16</v>
      </c>
      <c r="E233" s="93" t="s">
        <v>696</v>
      </c>
    </row>
    <row r="234" spans="1:5" x14ac:dyDescent="0.25">
      <c r="A234" s="93" t="s">
        <v>769</v>
      </c>
      <c r="B234" s="93" t="s">
        <v>770</v>
      </c>
      <c r="C234" s="93" t="s">
        <v>771</v>
      </c>
      <c r="D234" s="94">
        <v>16</v>
      </c>
      <c r="E234" s="93" t="s">
        <v>696</v>
      </c>
    </row>
    <row r="235" spans="1:5" x14ac:dyDescent="0.25">
      <c r="A235" s="93" t="s">
        <v>772</v>
      </c>
      <c r="B235" s="93" t="s">
        <v>773</v>
      </c>
      <c r="C235" s="93" t="s">
        <v>774</v>
      </c>
      <c r="D235" s="94">
        <v>16</v>
      </c>
      <c r="E235" s="93" t="s">
        <v>696</v>
      </c>
    </row>
    <row r="236" spans="1:5" x14ac:dyDescent="0.25">
      <c r="A236" s="93" t="s">
        <v>775</v>
      </c>
      <c r="B236" s="93" t="s">
        <v>776</v>
      </c>
      <c r="C236" s="93" t="s">
        <v>771</v>
      </c>
      <c r="D236" s="94">
        <v>16</v>
      </c>
      <c r="E236" s="93" t="s">
        <v>696</v>
      </c>
    </row>
    <row r="237" spans="1:5" x14ac:dyDescent="0.25">
      <c r="A237" s="93" t="s">
        <v>777</v>
      </c>
      <c r="B237" s="93" t="s">
        <v>778</v>
      </c>
      <c r="C237" s="93" t="s">
        <v>779</v>
      </c>
      <c r="D237" s="94">
        <v>16</v>
      </c>
      <c r="E237" s="93" t="s">
        <v>696</v>
      </c>
    </row>
    <row r="238" spans="1:5" x14ac:dyDescent="0.25">
      <c r="A238" s="93" t="s">
        <v>780</v>
      </c>
      <c r="B238" s="93" t="s">
        <v>781</v>
      </c>
      <c r="C238" s="93" t="s">
        <v>774</v>
      </c>
      <c r="D238" s="94">
        <v>16</v>
      </c>
      <c r="E238" s="93" t="s">
        <v>696</v>
      </c>
    </row>
    <row r="239" spans="1:5" x14ac:dyDescent="0.25">
      <c r="A239" s="93" t="s">
        <v>782</v>
      </c>
      <c r="B239" s="93" t="s">
        <v>783</v>
      </c>
      <c r="C239" s="93" t="s">
        <v>774</v>
      </c>
      <c r="D239" s="94">
        <v>16</v>
      </c>
      <c r="E239" s="93" t="s">
        <v>696</v>
      </c>
    </row>
    <row r="240" spans="1:5" x14ac:dyDescent="0.25">
      <c r="A240" s="93" t="s">
        <v>784</v>
      </c>
      <c r="B240" s="93" t="s">
        <v>785</v>
      </c>
      <c r="C240" s="93" t="s">
        <v>774</v>
      </c>
      <c r="D240" s="94">
        <v>16</v>
      </c>
      <c r="E240" s="93" t="s">
        <v>696</v>
      </c>
    </row>
    <row r="241" spans="1:5" x14ac:dyDescent="0.25">
      <c r="A241" s="93" t="s">
        <v>786</v>
      </c>
      <c r="B241" s="93" t="s">
        <v>787</v>
      </c>
      <c r="C241" s="93" t="s">
        <v>788</v>
      </c>
      <c r="D241" s="94">
        <v>16</v>
      </c>
      <c r="E241" s="93" t="s">
        <v>696</v>
      </c>
    </row>
    <row r="242" spans="1:5" x14ac:dyDescent="0.25">
      <c r="A242" s="93" t="s">
        <v>789</v>
      </c>
      <c r="B242" s="93" t="s">
        <v>790</v>
      </c>
      <c r="C242" s="93" t="s">
        <v>788</v>
      </c>
      <c r="D242" s="94">
        <v>16</v>
      </c>
      <c r="E242" s="93" t="s">
        <v>696</v>
      </c>
    </row>
    <row r="243" spans="1:5" x14ac:dyDescent="0.25">
      <c r="A243" s="93" t="s">
        <v>791</v>
      </c>
      <c r="B243" s="93" t="s">
        <v>792</v>
      </c>
      <c r="C243" s="93" t="s">
        <v>793</v>
      </c>
      <c r="D243" s="94">
        <v>16</v>
      </c>
      <c r="E243" s="93" t="s">
        <v>696</v>
      </c>
    </row>
    <row r="244" spans="1:5" x14ac:dyDescent="0.25">
      <c r="A244" s="93" t="s">
        <v>794</v>
      </c>
      <c r="B244" s="93" t="s">
        <v>795</v>
      </c>
      <c r="C244" s="93" t="s">
        <v>796</v>
      </c>
      <c r="D244" s="94">
        <v>16</v>
      </c>
      <c r="E244" s="93" t="s">
        <v>696</v>
      </c>
    </row>
    <row r="245" spans="1:5" x14ac:dyDescent="0.25">
      <c r="A245" s="93" t="s">
        <v>797</v>
      </c>
      <c r="B245" s="93" t="s">
        <v>798</v>
      </c>
      <c r="C245" s="93" t="s">
        <v>796</v>
      </c>
      <c r="D245" s="94">
        <v>16</v>
      </c>
      <c r="E245" s="93" t="s">
        <v>696</v>
      </c>
    </row>
    <row r="246" spans="1:5" x14ac:dyDescent="0.25">
      <c r="A246" s="93" t="s">
        <v>799</v>
      </c>
      <c r="B246" s="93" t="s">
        <v>800</v>
      </c>
      <c r="C246" s="93" t="s">
        <v>771</v>
      </c>
      <c r="D246" s="94">
        <v>16</v>
      </c>
      <c r="E246" s="93" t="s">
        <v>696</v>
      </c>
    </row>
    <row r="247" spans="1:5" x14ac:dyDescent="0.25">
      <c r="A247" s="93" t="s">
        <v>801</v>
      </c>
      <c r="B247" s="93" t="s">
        <v>802</v>
      </c>
      <c r="C247" s="93" t="s">
        <v>793</v>
      </c>
      <c r="D247" s="94">
        <v>16</v>
      </c>
      <c r="E247" s="93" t="s">
        <v>696</v>
      </c>
    </row>
    <row r="248" spans="1:5" x14ac:dyDescent="0.25">
      <c r="A248" s="93" t="s">
        <v>803</v>
      </c>
      <c r="B248" s="93" t="s">
        <v>804</v>
      </c>
      <c r="C248" s="93" t="s">
        <v>793</v>
      </c>
      <c r="D248" s="94">
        <v>16</v>
      </c>
      <c r="E248" s="93" t="s">
        <v>696</v>
      </c>
    </row>
    <row r="249" spans="1:5" x14ac:dyDescent="0.25">
      <c r="A249" s="93" t="s">
        <v>805</v>
      </c>
      <c r="B249" s="93" t="s">
        <v>806</v>
      </c>
      <c r="C249" s="93" t="s">
        <v>771</v>
      </c>
      <c r="D249" s="94">
        <v>16</v>
      </c>
      <c r="E249" s="93" t="s">
        <v>696</v>
      </c>
    </row>
    <row r="250" spans="1:5" x14ac:dyDescent="0.25">
      <c r="A250" s="93" t="s">
        <v>807</v>
      </c>
      <c r="B250" s="93" t="s">
        <v>808</v>
      </c>
      <c r="C250" s="93" t="s">
        <v>771</v>
      </c>
      <c r="D250" s="94">
        <v>16</v>
      </c>
      <c r="E250" s="93" t="s">
        <v>696</v>
      </c>
    </row>
    <row r="251" spans="1:5" x14ac:dyDescent="0.25">
      <c r="A251" s="93" t="s">
        <v>809</v>
      </c>
      <c r="B251" s="93" t="s">
        <v>810</v>
      </c>
      <c r="C251" s="93" t="s">
        <v>758</v>
      </c>
      <c r="D251" s="94">
        <v>16</v>
      </c>
      <c r="E251" s="93" t="s">
        <v>696</v>
      </c>
    </row>
    <row r="252" spans="1:5" x14ac:dyDescent="0.25">
      <c r="A252" s="93" t="s">
        <v>811</v>
      </c>
      <c r="B252" s="93" t="s">
        <v>812</v>
      </c>
      <c r="C252" s="93" t="s">
        <v>758</v>
      </c>
      <c r="D252" s="94">
        <v>16</v>
      </c>
      <c r="E252" s="93" t="s">
        <v>696</v>
      </c>
    </row>
    <row r="253" spans="1:5" x14ac:dyDescent="0.25">
      <c r="A253" s="93" t="s">
        <v>813</v>
      </c>
      <c r="B253" s="93" t="s">
        <v>814</v>
      </c>
      <c r="C253" s="93" t="s">
        <v>758</v>
      </c>
      <c r="D253" s="94">
        <v>16</v>
      </c>
      <c r="E253" s="93" t="s">
        <v>696</v>
      </c>
    </row>
    <row r="254" spans="1:5" x14ac:dyDescent="0.25">
      <c r="A254" s="93" t="s">
        <v>815</v>
      </c>
      <c r="B254" s="93" t="s">
        <v>816</v>
      </c>
      <c r="C254" s="93" t="s">
        <v>817</v>
      </c>
      <c r="D254" s="94">
        <v>16</v>
      </c>
      <c r="E254" s="93" t="s">
        <v>696</v>
      </c>
    </row>
    <row r="255" spans="1:5" x14ac:dyDescent="0.25">
      <c r="A255" s="93" t="s">
        <v>818</v>
      </c>
      <c r="B255" s="93" t="s">
        <v>819</v>
      </c>
      <c r="C255" s="93" t="s">
        <v>820</v>
      </c>
      <c r="D255" s="94">
        <v>16</v>
      </c>
      <c r="E255" s="93" t="s">
        <v>696</v>
      </c>
    </row>
    <row r="256" spans="1:5" x14ac:dyDescent="0.25">
      <c r="A256" s="93" t="s">
        <v>821</v>
      </c>
      <c r="B256" s="93" t="s">
        <v>822</v>
      </c>
      <c r="C256" s="93" t="s">
        <v>823</v>
      </c>
      <c r="D256" s="94">
        <v>16</v>
      </c>
      <c r="E256" s="93" t="s">
        <v>696</v>
      </c>
    </row>
    <row r="257" spans="1:5" x14ac:dyDescent="0.25">
      <c r="A257" s="93" t="s">
        <v>824</v>
      </c>
      <c r="B257" s="93" t="s">
        <v>825</v>
      </c>
      <c r="C257" s="93" t="s">
        <v>826</v>
      </c>
      <c r="D257" s="94">
        <v>16</v>
      </c>
      <c r="E257" s="93" t="s">
        <v>696</v>
      </c>
    </row>
    <row r="258" spans="1:5" x14ac:dyDescent="0.25">
      <c r="A258" s="93" t="s">
        <v>827</v>
      </c>
      <c r="B258" s="93" t="s">
        <v>828</v>
      </c>
      <c r="C258" s="93" t="s">
        <v>829</v>
      </c>
      <c r="D258" s="94">
        <v>16</v>
      </c>
      <c r="E258" s="93" t="s">
        <v>696</v>
      </c>
    </row>
    <row r="259" spans="1:5" x14ac:dyDescent="0.25">
      <c r="A259" s="93" t="s">
        <v>830</v>
      </c>
      <c r="B259" s="93" t="s">
        <v>831</v>
      </c>
      <c r="C259" s="93" t="s">
        <v>832</v>
      </c>
      <c r="D259" s="94">
        <v>16</v>
      </c>
      <c r="E259" s="93" t="s">
        <v>696</v>
      </c>
    </row>
    <row r="260" spans="1:5" x14ac:dyDescent="0.25">
      <c r="A260" s="93" t="s">
        <v>833</v>
      </c>
      <c r="B260" s="93" t="s">
        <v>834</v>
      </c>
      <c r="C260" s="93" t="s">
        <v>835</v>
      </c>
      <c r="D260" s="94">
        <v>16</v>
      </c>
      <c r="E260" s="93" t="s">
        <v>696</v>
      </c>
    </row>
    <row r="261" spans="1:5" x14ac:dyDescent="0.25">
      <c r="A261" s="93" t="s">
        <v>836</v>
      </c>
      <c r="B261" s="93" t="s">
        <v>837</v>
      </c>
      <c r="C261" s="93" t="s">
        <v>835</v>
      </c>
      <c r="D261" s="94">
        <v>16</v>
      </c>
      <c r="E261" s="93" t="s">
        <v>696</v>
      </c>
    </row>
    <row r="262" spans="1:5" x14ac:dyDescent="0.25">
      <c r="A262" s="93" t="s">
        <v>838</v>
      </c>
      <c r="B262" s="93" t="s">
        <v>839</v>
      </c>
      <c r="C262" s="93" t="s">
        <v>840</v>
      </c>
      <c r="D262" s="94">
        <v>16</v>
      </c>
      <c r="E262" s="93" t="s">
        <v>696</v>
      </c>
    </row>
    <row r="263" spans="1:5" x14ac:dyDescent="0.25">
      <c r="A263" s="93" t="s">
        <v>841</v>
      </c>
      <c r="B263" s="93" t="s">
        <v>842</v>
      </c>
      <c r="C263" s="93" t="s">
        <v>843</v>
      </c>
      <c r="D263" s="94">
        <v>16</v>
      </c>
      <c r="E263" s="93" t="s">
        <v>696</v>
      </c>
    </row>
    <row r="264" spans="1:5" x14ac:dyDescent="0.25">
      <c r="A264" s="93" t="s">
        <v>844</v>
      </c>
      <c r="B264" s="93" t="s">
        <v>845</v>
      </c>
      <c r="C264" s="93" t="s">
        <v>846</v>
      </c>
      <c r="D264" s="94">
        <v>16</v>
      </c>
      <c r="E264" s="93" t="s">
        <v>696</v>
      </c>
    </row>
    <row r="265" spans="1:5" x14ac:dyDescent="0.25">
      <c r="A265" s="93" t="s">
        <v>847</v>
      </c>
      <c r="B265" s="93" t="s">
        <v>848</v>
      </c>
      <c r="C265" s="93" t="s">
        <v>849</v>
      </c>
      <c r="D265" s="94">
        <v>16</v>
      </c>
      <c r="E265" s="93" t="s">
        <v>696</v>
      </c>
    </row>
    <row r="266" spans="1:5" x14ac:dyDescent="0.25">
      <c r="A266" s="93" t="s">
        <v>850</v>
      </c>
      <c r="B266" s="93" t="s">
        <v>851</v>
      </c>
      <c r="C266" s="93" t="s">
        <v>852</v>
      </c>
      <c r="D266" s="94">
        <v>16</v>
      </c>
      <c r="E266" s="93" t="s">
        <v>696</v>
      </c>
    </row>
    <row r="267" spans="1:5" x14ac:dyDescent="0.25">
      <c r="A267" s="93" t="s">
        <v>853</v>
      </c>
      <c r="B267" s="93" t="s">
        <v>854</v>
      </c>
      <c r="C267" s="93" t="s">
        <v>855</v>
      </c>
      <c r="D267" s="94">
        <v>16</v>
      </c>
      <c r="E267" s="93" t="s">
        <v>696</v>
      </c>
    </row>
    <row r="268" spans="1:5" x14ac:dyDescent="0.25">
      <c r="A268" s="93" t="s">
        <v>856</v>
      </c>
      <c r="B268" s="93" t="s">
        <v>857</v>
      </c>
      <c r="C268" s="93" t="s">
        <v>855</v>
      </c>
      <c r="D268" s="94">
        <v>16</v>
      </c>
      <c r="E268" s="93" t="s">
        <v>696</v>
      </c>
    </row>
    <row r="269" spans="1:5" x14ac:dyDescent="0.25">
      <c r="A269" s="93" t="s">
        <v>858</v>
      </c>
      <c r="B269" s="93" t="s">
        <v>859</v>
      </c>
      <c r="C269" s="93" t="s">
        <v>860</v>
      </c>
      <c r="D269" s="94">
        <v>16</v>
      </c>
      <c r="E269" s="93" t="s">
        <v>696</v>
      </c>
    </row>
    <row r="270" spans="1:5" x14ac:dyDescent="0.25">
      <c r="A270" s="93" t="s">
        <v>861</v>
      </c>
      <c r="B270" s="93" t="s">
        <v>862</v>
      </c>
      <c r="C270" s="93" t="s">
        <v>863</v>
      </c>
      <c r="D270" s="94">
        <v>16</v>
      </c>
      <c r="E270" s="93" t="s">
        <v>696</v>
      </c>
    </row>
    <row r="271" spans="1:5" x14ac:dyDescent="0.25">
      <c r="A271" s="93" t="s">
        <v>864</v>
      </c>
      <c r="B271" s="93" t="s">
        <v>865</v>
      </c>
      <c r="C271" s="93" t="s">
        <v>866</v>
      </c>
      <c r="D271" s="94">
        <v>16</v>
      </c>
      <c r="E271" s="93" t="s">
        <v>696</v>
      </c>
    </row>
    <row r="272" spans="1:5" x14ac:dyDescent="0.25">
      <c r="A272" s="93" t="s">
        <v>867</v>
      </c>
      <c r="B272" s="93" t="s">
        <v>868</v>
      </c>
      <c r="C272" s="93" t="s">
        <v>869</v>
      </c>
      <c r="D272" s="94">
        <v>16</v>
      </c>
      <c r="E272" s="93" t="s">
        <v>696</v>
      </c>
    </row>
    <row r="273" spans="1:5" x14ac:dyDescent="0.25">
      <c r="A273" s="93" t="s">
        <v>870</v>
      </c>
      <c r="B273" s="93" t="s">
        <v>871</v>
      </c>
      <c r="C273" s="93" t="s">
        <v>872</v>
      </c>
      <c r="D273" s="94">
        <v>16</v>
      </c>
      <c r="E273" s="93" t="s">
        <v>696</v>
      </c>
    </row>
    <row r="274" spans="1:5" x14ac:dyDescent="0.25">
      <c r="A274" s="93" t="s">
        <v>873</v>
      </c>
      <c r="B274" s="93" t="s">
        <v>874</v>
      </c>
      <c r="C274" s="93" t="s">
        <v>875</v>
      </c>
      <c r="D274" s="94">
        <v>16</v>
      </c>
      <c r="E274" s="93" t="s">
        <v>696</v>
      </c>
    </row>
    <row r="275" spans="1:5" x14ac:dyDescent="0.25">
      <c r="A275" s="93" t="s">
        <v>876</v>
      </c>
      <c r="B275" s="93" t="s">
        <v>877</v>
      </c>
      <c r="C275" s="93" t="s">
        <v>878</v>
      </c>
      <c r="D275" s="94">
        <v>16</v>
      </c>
      <c r="E275" s="93" t="s">
        <v>696</v>
      </c>
    </row>
    <row r="276" spans="1:5" x14ac:dyDescent="0.25">
      <c r="A276" s="93" t="s">
        <v>879</v>
      </c>
      <c r="B276" s="93" t="s">
        <v>880</v>
      </c>
      <c r="C276" s="93" t="s">
        <v>872</v>
      </c>
      <c r="D276" s="94">
        <v>16</v>
      </c>
      <c r="E276" s="93" t="s">
        <v>696</v>
      </c>
    </row>
    <row r="277" spans="1:5" x14ac:dyDescent="0.25">
      <c r="A277" s="93" t="s">
        <v>881</v>
      </c>
      <c r="B277" s="93" t="s">
        <v>882</v>
      </c>
      <c r="C277" s="93" t="s">
        <v>883</v>
      </c>
      <c r="D277" s="94">
        <v>16</v>
      </c>
      <c r="E277" s="93" t="s">
        <v>696</v>
      </c>
    </row>
    <row r="278" spans="1:5" x14ac:dyDescent="0.25">
      <c r="A278" s="93" t="s">
        <v>884</v>
      </c>
      <c r="B278" s="93" t="s">
        <v>885</v>
      </c>
      <c r="C278" s="93" t="s">
        <v>886</v>
      </c>
      <c r="D278" s="94">
        <v>16</v>
      </c>
      <c r="E278" s="93" t="s">
        <v>696</v>
      </c>
    </row>
    <row r="279" spans="1:5" x14ac:dyDescent="0.25">
      <c r="A279" s="93" t="s">
        <v>887</v>
      </c>
      <c r="B279" s="93" t="s">
        <v>888</v>
      </c>
      <c r="C279" s="93" t="s">
        <v>889</v>
      </c>
      <c r="D279" s="94">
        <v>16</v>
      </c>
      <c r="E279" s="93" t="s">
        <v>696</v>
      </c>
    </row>
    <row r="280" spans="1:5" x14ac:dyDescent="0.25">
      <c r="A280" s="93" t="s">
        <v>890</v>
      </c>
      <c r="B280" s="93" t="s">
        <v>891</v>
      </c>
      <c r="C280" s="93" t="s">
        <v>889</v>
      </c>
      <c r="D280" s="94">
        <v>16</v>
      </c>
      <c r="E280" s="93" t="s">
        <v>696</v>
      </c>
    </row>
    <row r="281" spans="1:5" x14ac:dyDescent="0.25">
      <c r="A281" s="93" t="s">
        <v>892</v>
      </c>
      <c r="B281" s="93" t="s">
        <v>893</v>
      </c>
      <c r="C281" s="93" t="s">
        <v>889</v>
      </c>
      <c r="D281" s="94">
        <v>16</v>
      </c>
      <c r="E281" s="93" t="s">
        <v>696</v>
      </c>
    </row>
    <row r="282" spans="1:5" x14ac:dyDescent="0.25">
      <c r="A282" s="93" t="s">
        <v>894</v>
      </c>
      <c r="B282" s="93" t="s">
        <v>895</v>
      </c>
      <c r="C282" s="93" t="s">
        <v>896</v>
      </c>
      <c r="D282" s="94">
        <v>16</v>
      </c>
      <c r="E282" s="93" t="s">
        <v>696</v>
      </c>
    </row>
    <row r="283" spans="1:5" x14ac:dyDescent="0.25">
      <c r="A283" s="93" t="s">
        <v>897</v>
      </c>
      <c r="B283" s="93" t="s">
        <v>898</v>
      </c>
      <c r="C283" s="93" t="s">
        <v>899</v>
      </c>
      <c r="D283" s="94">
        <v>16</v>
      </c>
      <c r="E283" s="93" t="s">
        <v>696</v>
      </c>
    </row>
    <row r="284" spans="1:5" x14ac:dyDescent="0.25">
      <c r="A284" s="93" t="s">
        <v>900</v>
      </c>
      <c r="B284" s="93" t="s">
        <v>901</v>
      </c>
      <c r="C284" s="93" t="s">
        <v>902</v>
      </c>
      <c r="D284" s="94">
        <v>16</v>
      </c>
      <c r="E284" s="93" t="s">
        <v>696</v>
      </c>
    </row>
    <row r="285" spans="1:5" x14ac:dyDescent="0.25">
      <c r="A285" s="93" t="s">
        <v>903</v>
      </c>
      <c r="B285" s="93" t="s">
        <v>904</v>
      </c>
      <c r="C285" s="93" t="s">
        <v>905</v>
      </c>
      <c r="D285" s="94">
        <v>16</v>
      </c>
      <c r="E285" s="93" t="s">
        <v>696</v>
      </c>
    </row>
    <row r="286" spans="1:5" x14ac:dyDescent="0.25">
      <c r="A286" s="93" t="s">
        <v>906</v>
      </c>
      <c r="B286" s="93" t="s">
        <v>907</v>
      </c>
      <c r="C286" s="93" t="s">
        <v>908</v>
      </c>
      <c r="D286" s="94">
        <v>16</v>
      </c>
      <c r="E286" s="93" t="s">
        <v>696</v>
      </c>
    </row>
    <row r="287" spans="1:5" x14ac:dyDescent="0.25">
      <c r="A287" s="93" t="s">
        <v>909</v>
      </c>
      <c r="B287" s="93" t="s">
        <v>910</v>
      </c>
      <c r="C287" s="93" t="s">
        <v>908</v>
      </c>
      <c r="D287" s="94">
        <v>16</v>
      </c>
      <c r="E287" s="93" t="s">
        <v>696</v>
      </c>
    </row>
    <row r="288" spans="1:5" x14ac:dyDescent="0.25">
      <c r="A288" s="93" t="s">
        <v>911</v>
      </c>
      <c r="B288" s="93" t="s">
        <v>912</v>
      </c>
      <c r="C288" s="93" t="s">
        <v>908</v>
      </c>
      <c r="D288" s="94">
        <v>16</v>
      </c>
      <c r="E288" s="93" t="s">
        <v>696</v>
      </c>
    </row>
    <row r="289" spans="1:5" x14ac:dyDescent="0.25">
      <c r="A289" s="93" t="s">
        <v>913</v>
      </c>
      <c r="B289" s="93" t="s">
        <v>914</v>
      </c>
      <c r="C289" s="93" t="s">
        <v>915</v>
      </c>
      <c r="D289" s="94">
        <v>16</v>
      </c>
      <c r="E289" s="93" t="s">
        <v>696</v>
      </c>
    </row>
    <row r="290" spans="1:5" x14ac:dyDescent="0.25">
      <c r="A290" s="93" t="s">
        <v>916</v>
      </c>
      <c r="B290" s="93" t="s">
        <v>917</v>
      </c>
      <c r="C290" s="93" t="s">
        <v>918</v>
      </c>
      <c r="D290" s="94">
        <v>16</v>
      </c>
      <c r="E290" s="93" t="s">
        <v>696</v>
      </c>
    </row>
    <row r="291" spans="1:5" x14ac:dyDescent="0.25">
      <c r="A291" s="93" t="s">
        <v>919</v>
      </c>
      <c r="B291" s="93" t="s">
        <v>920</v>
      </c>
      <c r="C291" s="93" t="s">
        <v>921</v>
      </c>
      <c r="D291" s="94">
        <v>16</v>
      </c>
      <c r="E291" s="93" t="s">
        <v>696</v>
      </c>
    </row>
    <row r="292" spans="1:5" x14ac:dyDescent="0.25">
      <c r="A292" s="93" t="s">
        <v>922</v>
      </c>
      <c r="B292" s="93" t="s">
        <v>923</v>
      </c>
      <c r="C292" s="93" t="s">
        <v>924</v>
      </c>
      <c r="D292" s="94">
        <v>16</v>
      </c>
      <c r="E292" s="93" t="s">
        <v>696</v>
      </c>
    </row>
    <row r="293" spans="1:5" x14ac:dyDescent="0.25">
      <c r="A293" s="93" t="s">
        <v>925</v>
      </c>
      <c r="B293" s="93" t="s">
        <v>926</v>
      </c>
      <c r="C293" s="93" t="s">
        <v>924</v>
      </c>
      <c r="D293" s="94">
        <v>16</v>
      </c>
      <c r="E293" s="93" t="s">
        <v>696</v>
      </c>
    </row>
    <row r="294" spans="1:5" x14ac:dyDescent="0.25">
      <c r="A294" s="93" t="s">
        <v>927</v>
      </c>
      <c r="B294" s="93" t="s">
        <v>928</v>
      </c>
      <c r="C294" s="93" t="s">
        <v>929</v>
      </c>
      <c r="D294" s="94">
        <v>16</v>
      </c>
      <c r="E294" s="93" t="s">
        <v>696</v>
      </c>
    </row>
    <row r="295" spans="1:5" x14ac:dyDescent="0.25">
      <c r="A295" s="93" t="s">
        <v>930</v>
      </c>
      <c r="B295" s="93" t="s">
        <v>931</v>
      </c>
      <c r="C295" s="93" t="s">
        <v>932</v>
      </c>
      <c r="D295" s="94">
        <v>16</v>
      </c>
      <c r="E295" s="93" t="s">
        <v>696</v>
      </c>
    </row>
    <row r="296" spans="1:5" x14ac:dyDescent="0.25">
      <c r="A296" s="93" t="s">
        <v>933</v>
      </c>
      <c r="B296" s="93" t="s">
        <v>934</v>
      </c>
      <c r="C296" s="93" t="s">
        <v>935</v>
      </c>
      <c r="D296" s="94">
        <v>16</v>
      </c>
      <c r="E296" s="93" t="s">
        <v>696</v>
      </c>
    </row>
    <row r="297" spans="1:5" x14ac:dyDescent="0.25">
      <c r="A297" s="93" t="s">
        <v>936</v>
      </c>
      <c r="B297" s="93" t="s">
        <v>937</v>
      </c>
      <c r="C297" s="93" t="s">
        <v>938</v>
      </c>
      <c r="D297" s="94">
        <v>16</v>
      </c>
      <c r="E297" s="93" t="s">
        <v>696</v>
      </c>
    </row>
    <row r="298" spans="1:5" x14ac:dyDescent="0.25">
      <c r="A298" s="93" t="s">
        <v>939</v>
      </c>
      <c r="B298" s="93" t="s">
        <v>940</v>
      </c>
      <c r="C298" s="93" t="s">
        <v>938</v>
      </c>
      <c r="D298" s="94">
        <v>16</v>
      </c>
      <c r="E298" s="93" t="s">
        <v>696</v>
      </c>
    </row>
    <row r="299" spans="1:5" x14ac:dyDescent="0.25">
      <c r="A299" s="93" t="s">
        <v>941</v>
      </c>
      <c r="B299" s="93" t="s">
        <v>942</v>
      </c>
      <c r="C299" s="93" t="s">
        <v>938</v>
      </c>
      <c r="D299" s="94">
        <v>16</v>
      </c>
      <c r="E299" s="93" t="s">
        <v>696</v>
      </c>
    </row>
    <row r="300" spans="1:5" x14ac:dyDescent="0.25">
      <c r="A300" s="93" t="s">
        <v>943</v>
      </c>
      <c r="B300" s="93" t="s">
        <v>944</v>
      </c>
      <c r="C300" s="93" t="s">
        <v>938</v>
      </c>
      <c r="D300" s="94">
        <v>16</v>
      </c>
      <c r="E300" s="93" t="s">
        <v>696</v>
      </c>
    </row>
    <row r="301" spans="1:5" x14ac:dyDescent="0.25">
      <c r="A301" s="93" t="s">
        <v>945</v>
      </c>
      <c r="B301" s="93" t="s">
        <v>946</v>
      </c>
      <c r="C301" s="93" t="s">
        <v>947</v>
      </c>
      <c r="D301" s="94">
        <v>16</v>
      </c>
      <c r="E301" s="93" t="s">
        <v>696</v>
      </c>
    </row>
    <row r="302" spans="1:5" x14ac:dyDescent="0.25">
      <c r="A302" s="93" t="s">
        <v>948</v>
      </c>
      <c r="B302" s="93" t="s">
        <v>949</v>
      </c>
      <c r="C302" s="93" t="s">
        <v>947</v>
      </c>
      <c r="D302" s="94">
        <v>16</v>
      </c>
      <c r="E302" s="93" t="s">
        <v>696</v>
      </c>
    </row>
    <row r="303" spans="1:5" x14ac:dyDescent="0.25">
      <c r="A303" s="93" t="s">
        <v>950</v>
      </c>
      <c r="B303" s="93" t="s">
        <v>951</v>
      </c>
      <c r="C303" s="93" t="s">
        <v>947</v>
      </c>
      <c r="D303" s="94">
        <v>16</v>
      </c>
      <c r="E303" s="93" t="s">
        <v>696</v>
      </c>
    </row>
    <row r="304" spans="1:5" x14ac:dyDescent="0.25">
      <c r="A304" s="93" t="s">
        <v>952</v>
      </c>
      <c r="B304" s="93" t="s">
        <v>953</v>
      </c>
      <c r="C304" s="93" t="s">
        <v>954</v>
      </c>
      <c r="D304" s="94">
        <v>16</v>
      </c>
      <c r="E304" s="93" t="s">
        <v>696</v>
      </c>
    </row>
    <row r="305" spans="1:5" x14ac:dyDescent="0.25">
      <c r="A305" s="93" t="s">
        <v>955</v>
      </c>
      <c r="B305" s="93" t="s">
        <v>956</v>
      </c>
      <c r="C305" s="93" t="s">
        <v>957</v>
      </c>
      <c r="D305" s="94">
        <v>16</v>
      </c>
      <c r="E305" s="93" t="s">
        <v>696</v>
      </c>
    </row>
    <row r="306" spans="1:5" x14ac:dyDescent="0.25">
      <c r="A306" s="93" t="s">
        <v>958</v>
      </c>
      <c r="B306" s="93" t="s">
        <v>959</v>
      </c>
      <c r="C306" s="93" t="s">
        <v>960</v>
      </c>
      <c r="D306" s="94">
        <v>16</v>
      </c>
      <c r="E306" s="93" t="s">
        <v>696</v>
      </c>
    </row>
    <row r="307" spans="1:5" x14ac:dyDescent="0.25">
      <c r="A307" s="93" t="s">
        <v>961</v>
      </c>
      <c r="B307" s="93" t="s">
        <v>962</v>
      </c>
      <c r="C307" s="93" t="s">
        <v>963</v>
      </c>
      <c r="D307" s="94">
        <v>16</v>
      </c>
      <c r="E307" s="93" t="s">
        <v>696</v>
      </c>
    </row>
    <row r="308" spans="1:5" x14ac:dyDescent="0.25">
      <c r="A308" s="93" t="s">
        <v>964</v>
      </c>
      <c r="B308" s="93" t="s">
        <v>965</v>
      </c>
      <c r="C308" s="93" t="s">
        <v>963</v>
      </c>
      <c r="D308" s="94">
        <v>16</v>
      </c>
      <c r="E308" s="93" t="s">
        <v>696</v>
      </c>
    </row>
    <row r="309" spans="1:5" x14ac:dyDescent="0.25">
      <c r="A309" s="93" t="s">
        <v>966</v>
      </c>
      <c r="B309" s="93" t="s">
        <v>967</v>
      </c>
      <c r="C309" s="93" t="s">
        <v>963</v>
      </c>
      <c r="D309" s="94">
        <v>16</v>
      </c>
      <c r="E309" s="93" t="s">
        <v>696</v>
      </c>
    </row>
    <row r="310" spans="1:5" x14ac:dyDescent="0.25">
      <c r="A310" s="93" t="s">
        <v>968</v>
      </c>
      <c r="B310" s="93" t="s">
        <v>969</v>
      </c>
      <c r="C310" s="93" t="s">
        <v>963</v>
      </c>
      <c r="D310" s="94">
        <v>16</v>
      </c>
      <c r="E310" s="93" t="s">
        <v>696</v>
      </c>
    </row>
    <row r="311" spans="1:5" x14ac:dyDescent="0.25">
      <c r="A311" s="93" t="s">
        <v>970</v>
      </c>
      <c r="B311" s="93" t="s">
        <v>971</v>
      </c>
      <c r="C311" s="93" t="s">
        <v>972</v>
      </c>
      <c r="D311" s="94">
        <v>16</v>
      </c>
      <c r="E311" s="93" t="s">
        <v>696</v>
      </c>
    </row>
    <row r="312" spans="1:5" x14ac:dyDescent="0.25">
      <c r="A312" s="93" t="s">
        <v>973</v>
      </c>
      <c r="B312" s="93" t="s">
        <v>974</v>
      </c>
      <c r="C312" s="93" t="s">
        <v>975</v>
      </c>
      <c r="D312" s="94">
        <v>16</v>
      </c>
      <c r="E312" s="93" t="s">
        <v>696</v>
      </c>
    </row>
    <row r="313" spans="1:5" x14ac:dyDescent="0.25">
      <c r="A313" s="93" t="s">
        <v>976</v>
      </c>
      <c r="B313" s="93" t="s">
        <v>977</v>
      </c>
      <c r="C313" s="93" t="s">
        <v>978</v>
      </c>
      <c r="D313" s="94">
        <v>16</v>
      </c>
      <c r="E313" s="93" t="s">
        <v>696</v>
      </c>
    </row>
    <row r="314" spans="1:5" x14ac:dyDescent="0.25">
      <c r="A314" s="93" t="s">
        <v>979</v>
      </c>
      <c r="B314" s="93" t="s">
        <v>980</v>
      </c>
      <c r="C314" s="93" t="s">
        <v>978</v>
      </c>
      <c r="D314" s="94">
        <v>16</v>
      </c>
      <c r="E314" s="93" t="s">
        <v>696</v>
      </c>
    </row>
    <row r="315" spans="1:5" x14ac:dyDescent="0.25">
      <c r="A315" s="93" t="s">
        <v>981</v>
      </c>
      <c r="B315" s="93" t="s">
        <v>982</v>
      </c>
      <c r="C315" s="93" t="s">
        <v>978</v>
      </c>
      <c r="D315" s="94">
        <v>16</v>
      </c>
      <c r="E315" s="93" t="s">
        <v>696</v>
      </c>
    </row>
    <row r="316" spans="1:5" x14ac:dyDescent="0.25">
      <c r="A316" s="93" t="s">
        <v>983</v>
      </c>
      <c r="B316" s="93" t="s">
        <v>984</v>
      </c>
      <c r="C316" s="93" t="s">
        <v>978</v>
      </c>
      <c r="D316" s="94">
        <v>16</v>
      </c>
      <c r="E316" s="93" t="s">
        <v>696</v>
      </c>
    </row>
    <row r="317" spans="1:5" x14ac:dyDescent="0.25">
      <c r="A317" s="93" t="s">
        <v>985</v>
      </c>
      <c r="B317" s="93" t="s">
        <v>986</v>
      </c>
      <c r="C317" s="93" t="s">
        <v>978</v>
      </c>
      <c r="D317" s="94">
        <v>16</v>
      </c>
      <c r="E317" s="93" t="s">
        <v>696</v>
      </c>
    </row>
    <row r="318" spans="1:5" x14ac:dyDescent="0.25">
      <c r="A318" s="93" t="s">
        <v>987</v>
      </c>
      <c r="B318" s="93" t="s">
        <v>988</v>
      </c>
      <c r="C318" s="93" t="s">
        <v>978</v>
      </c>
      <c r="D318" s="94">
        <v>16</v>
      </c>
      <c r="E318" s="93" t="s">
        <v>696</v>
      </c>
    </row>
    <row r="319" spans="1:5" x14ac:dyDescent="0.25">
      <c r="A319" s="93" t="s">
        <v>989</v>
      </c>
      <c r="B319" s="93" t="s">
        <v>990</v>
      </c>
      <c r="C319" s="93" t="s">
        <v>991</v>
      </c>
      <c r="D319" s="94">
        <v>16</v>
      </c>
      <c r="E319" s="93" t="s">
        <v>696</v>
      </c>
    </row>
    <row r="320" spans="1:5" x14ac:dyDescent="0.25">
      <c r="A320" s="93" t="s">
        <v>992</v>
      </c>
      <c r="B320" s="93" t="s">
        <v>993</v>
      </c>
      <c r="C320" s="93" t="s">
        <v>991</v>
      </c>
      <c r="D320" s="94">
        <v>16</v>
      </c>
      <c r="E320" s="93" t="s">
        <v>696</v>
      </c>
    </row>
    <row r="321" spans="1:5" x14ac:dyDescent="0.25">
      <c r="A321" s="93" t="s">
        <v>994</v>
      </c>
      <c r="B321" s="93" t="s">
        <v>995</v>
      </c>
      <c r="C321" s="93" t="s">
        <v>991</v>
      </c>
      <c r="D321" s="94">
        <v>16</v>
      </c>
      <c r="E321" s="93" t="s">
        <v>696</v>
      </c>
    </row>
    <row r="322" spans="1:5" x14ac:dyDescent="0.25">
      <c r="A322" s="93" t="s">
        <v>996</v>
      </c>
      <c r="B322" s="93" t="s">
        <v>997</v>
      </c>
      <c r="C322" s="93" t="s">
        <v>998</v>
      </c>
      <c r="D322" s="94">
        <v>16</v>
      </c>
      <c r="E322" s="93" t="s">
        <v>696</v>
      </c>
    </row>
    <row r="323" spans="1:5" x14ac:dyDescent="0.25">
      <c r="A323" s="93" t="s">
        <v>999</v>
      </c>
      <c r="B323" s="93" t="s">
        <v>1000</v>
      </c>
      <c r="C323" s="93" t="s">
        <v>1001</v>
      </c>
      <c r="D323" s="94">
        <v>16</v>
      </c>
      <c r="E323" s="93" t="s">
        <v>696</v>
      </c>
    </row>
    <row r="324" spans="1:5" x14ac:dyDescent="0.25">
      <c r="A324" s="93" t="s">
        <v>1002</v>
      </c>
      <c r="B324" s="93" t="s">
        <v>1003</v>
      </c>
      <c r="C324" s="93" t="s">
        <v>1004</v>
      </c>
      <c r="D324" s="94">
        <v>16</v>
      </c>
      <c r="E324" s="93" t="s">
        <v>696</v>
      </c>
    </row>
    <row r="325" spans="1:5" x14ac:dyDescent="0.25">
      <c r="A325" s="93" t="s">
        <v>1005</v>
      </c>
      <c r="B325" s="93" t="s">
        <v>1006</v>
      </c>
      <c r="C325" s="93" t="s">
        <v>1007</v>
      </c>
      <c r="D325" s="94">
        <v>16</v>
      </c>
      <c r="E325" s="93" t="s">
        <v>696</v>
      </c>
    </row>
    <row r="326" spans="1:5" x14ac:dyDescent="0.25">
      <c r="A326" s="93" t="s">
        <v>1008</v>
      </c>
      <c r="B326" s="93" t="s">
        <v>1009</v>
      </c>
      <c r="C326" s="93" t="s">
        <v>1010</v>
      </c>
      <c r="D326" s="94">
        <v>16</v>
      </c>
      <c r="E326" s="93" t="s">
        <v>696</v>
      </c>
    </row>
    <row r="327" spans="1:5" x14ac:dyDescent="0.25">
      <c r="A327" s="93" t="s">
        <v>1011</v>
      </c>
      <c r="B327" s="93" t="s">
        <v>1012</v>
      </c>
      <c r="C327" s="93" t="s">
        <v>1013</v>
      </c>
      <c r="D327" s="94">
        <v>16</v>
      </c>
      <c r="E327" s="93" t="s">
        <v>696</v>
      </c>
    </row>
    <row r="328" spans="1:5" x14ac:dyDescent="0.25">
      <c r="A328" s="93" t="s">
        <v>1014</v>
      </c>
      <c r="B328" s="93" t="s">
        <v>1015</v>
      </c>
      <c r="C328" s="93" t="s">
        <v>1016</v>
      </c>
      <c r="D328" s="94">
        <v>16</v>
      </c>
      <c r="E328" s="93" t="s">
        <v>696</v>
      </c>
    </row>
    <row r="329" spans="1:5" x14ac:dyDescent="0.25">
      <c r="A329" s="93" t="s">
        <v>1017</v>
      </c>
      <c r="B329" s="93" t="s">
        <v>1018</v>
      </c>
      <c r="C329" s="93" t="s">
        <v>1019</v>
      </c>
      <c r="D329" s="94">
        <v>16</v>
      </c>
      <c r="E329" s="93" t="s">
        <v>696</v>
      </c>
    </row>
    <row r="330" spans="1:5" x14ac:dyDescent="0.25">
      <c r="A330" s="93" t="s">
        <v>1020</v>
      </c>
      <c r="B330" s="93" t="s">
        <v>1021</v>
      </c>
      <c r="C330" s="93" t="s">
        <v>1022</v>
      </c>
      <c r="D330" s="94">
        <v>16</v>
      </c>
      <c r="E330" s="93" t="s">
        <v>696</v>
      </c>
    </row>
    <row r="331" spans="1:5" x14ac:dyDescent="0.25">
      <c r="A331" s="93" t="s">
        <v>1023</v>
      </c>
      <c r="B331" s="93" t="s">
        <v>1024</v>
      </c>
      <c r="C331" s="93" t="s">
        <v>1022</v>
      </c>
      <c r="D331" s="94">
        <v>16</v>
      </c>
      <c r="E331" s="93" t="s">
        <v>696</v>
      </c>
    </row>
    <row r="332" spans="1:5" x14ac:dyDescent="0.25">
      <c r="A332" s="93" t="s">
        <v>1025</v>
      </c>
      <c r="B332" s="93" t="s">
        <v>1026</v>
      </c>
      <c r="C332" s="93" t="s">
        <v>1022</v>
      </c>
      <c r="D332" s="94">
        <v>16</v>
      </c>
      <c r="E332" s="93" t="s">
        <v>696</v>
      </c>
    </row>
    <row r="333" spans="1:5" x14ac:dyDescent="0.25">
      <c r="A333" s="93" t="s">
        <v>1027</v>
      </c>
      <c r="B333" s="93" t="s">
        <v>1028</v>
      </c>
      <c r="C333" s="93" t="s">
        <v>1029</v>
      </c>
      <c r="D333" s="94">
        <v>16</v>
      </c>
      <c r="E333" s="93" t="s">
        <v>696</v>
      </c>
    </row>
    <row r="334" spans="1:5" x14ac:dyDescent="0.25">
      <c r="A334" s="93" t="s">
        <v>1030</v>
      </c>
      <c r="B334" s="93" t="s">
        <v>1031</v>
      </c>
      <c r="C334" s="93" t="s">
        <v>1029</v>
      </c>
      <c r="D334" s="94">
        <v>16</v>
      </c>
      <c r="E334" s="93" t="s">
        <v>696</v>
      </c>
    </row>
    <row r="335" spans="1:5" x14ac:dyDescent="0.25">
      <c r="A335" s="93" t="s">
        <v>1032</v>
      </c>
      <c r="B335" s="93" t="s">
        <v>1033</v>
      </c>
      <c r="C335" s="93" t="s">
        <v>1029</v>
      </c>
      <c r="D335" s="94">
        <v>16</v>
      </c>
      <c r="E335" s="93" t="s">
        <v>696</v>
      </c>
    </row>
    <row r="336" spans="1:5" x14ac:dyDescent="0.25">
      <c r="A336" s="93" t="s">
        <v>1034</v>
      </c>
      <c r="B336" s="93" t="s">
        <v>1035</v>
      </c>
      <c r="C336" s="93" t="s">
        <v>1029</v>
      </c>
      <c r="D336" s="94">
        <v>16</v>
      </c>
      <c r="E336" s="93" t="s">
        <v>696</v>
      </c>
    </row>
    <row r="337" spans="1:5" x14ac:dyDescent="0.25">
      <c r="A337" s="93" t="s">
        <v>1036</v>
      </c>
      <c r="B337" s="93" t="s">
        <v>1037</v>
      </c>
      <c r="C337" s="93" t="s">
        <v>1029</v>
      </c>
      <c r="D337" s="94">
        <v>16</v>
      </c>
      <c r="E337" s="93" t="s">
        <v>696</v>
      </c>
    </row>
    <row r="338" spans="1:5" x14ac:dyDescent="0.25">
      <c r="A338" s="93" t="s">
        <v>1038</v>
      </c>
      <c r="B338" s="93" t="s">
        <v>1039</v>
      </c>
      <c r="C338" s="93" t="s">
        <v>1040</v>
      </c>
      <c r="D338" s="94">
        <v>16</v>
      </c>
      <c r="E338" s="93" t="s">
        <v>696</v>
      </c>
    </row>
    <row r="339" spans="1:5" x14ac:dyDescent="0.25">
      <c r="A339" s="93" t="s">
        <v>1041</v>
      </c>
      <c r="B339" s="93" t="s">
        <v>1042</v>
      </c>
      <c r="C339" s="93" t="s">
        <v>1043</v>
      </c>
      <c r="D339" s="94">
        <v>16</v>
      </c>
      <c r="E339" s="93" t="s">
        <v>696</v>
      </c>
    </row>
    <row r="340" spans="1:5" x14ac:dyDescent="0.25">
      <c r="A340" s="93" t="s">
        <v>1044</v>
      </c>
      <c r="B340" s="93" t="s">
        <v>1045</v>
      </c>
      <c r="C340" s="93" t="s">
        <v>1043</v>
      </c>
      <c r="D340" s="94">
        <v>16</v>
      </c>
      <c r="E340" s="93" t="s">
        <v>696</v>
      </c>
    </row>
    <row r="341" spans="1:5" x14ac:dyDescent="0.25">
      <c r="A341" s="93" t="s">
        <v>1046</v>
      </c>
      <c r="B341" s="93" t="s">
        <v>1047</v>
      </c>
      <c r="C341" s="93" t="s">
        <v>1043</v>
      </c>
      <c r="D341" s="94">
        <v>16</v>
      </c>
      <c r="E341" s="93" t="s">
        <v>696</v>
      </c>
    </row>
    <row r="342" spans="1:5" x14ac:dyDescent="0.25">
      <c r="A342" s="93" t="s">
        <v>1048</v>
      </c>
      <c r="B342" s="93" t="s">
        <v>1049</v>
      </c>
      <c r="C342" s="93" t="s">
        <v>1050</v>
      </c>
      <c r="D342" s="94">
        <v>16</v>
      </c>
      <c r="E342" s="93" t="s">
        <v>696</v>
      </c>
    </row>
    <row r="343" spans="1:5" x14ac:dyDescent="0.25">
      <c r="A343" s="93" t="s">
        <v>1051</v>
      </c>
      <c r="B343" s="93" t="s">
        <v>1052</v>
      </c>
      <c r="C343" s="93" t="s">
        <v>1053</v>
      </c>
      <c r="D343" s="94">
        <v>16</v>
      </c>
      <c r="E343" s="93" t="s">
        <v>696</v>
      </c>
    </row>
    <row r="344" spans="1:5" x14ac:dyDescent="0.25">
      <c r="A344" s="93" t="s">
        <v>1054</v>
      </c>
      <c r="B344" s="93" t="s">
        <v>1055</v>
      </c>
      <c r="C344" s="93" t="s">
        <v>1056</v>
      </c>
      <c r="D344" s="94">
        <v>16</v>
      </c>
      <c r="E344" s="93" t="s">
        <v>696</v>
      </c>
    </row>
    <row r="345" spans="1:5" x14ac:dyDescent="0.25">
      <c r="A345" s="93" t="s">
        <v>1057</v>
      </c>
      <c r="B345" s="93" t="s">
        <v>1058</v>
      </c>
      <c r="C345" s="93" t="s">
        <v>1056</v>
      </c>
      <c r="D345" s="94">
        <v>16</v>
      </c>
      <c r="E345" s="93" t="s">
        <v>696</v>
      </c>
    </row>
    <row r="346" spans="1:5" x14ac:dyDescent="0.25">
      <c r="A346" s="93" t="s">
        <v>1059</v>
      </c>
      <c r="B346" s="93" t="s">
        <v>1060</v>
      </c>
      <c r="C346" s="93" t="s">
        <v>1061</v>
      </c>
      <c r="D346" s="94">
        <v>16</v>
      </c>
      <c r="E346" s="93" t="s">
        <v>696</v>
      </c>
    </row>
    <row r="347" spans="1:5" x14ac:dyDescent="0.25">
      <c r="A347" s="93" t="s">
        <v>1062</v>
      </c>
      <c r="B347" s="93" t="s">
        <v>1063</v>
      </c>
      <c r="C347" s="93" t="s">
        <v>1064</v>
      </c>
      <c r="D347" s="94">
        <v>16</v>
      </c>
      <c r="E347" s="93" t="s">
        <v>696</v>
      </c>
    </row>
    <row r="348" spans="1:5" x14ac:dyDescent="0.25">
      <c r="A348" s="93" t="s">
        <v>1065</v>
      </c>
      <c r="B348" s="93" t="s">
        <v>1066</v>
      </c>
      <c r="C348" s="93" t="s">
        <v>1067</v>
      </c>
      <c r="D348" s="94">
        <v>16</v>
      </c>
      <c r="E348" s="93" t="s">
        <v>696</v>
      </c>
    </row>
    <row r="349" spans="1:5" x14ac:dyDescent="0.25">
      <c r="A349" s="93" t="s">
        <v>1068</v>
      </c>
      <c r="B349" s="93" t="s">
        <v>1069</v>
      </c>
      <c r="C349" s="93" t="s">
        <v>1070</v>
      </c>
      <c r="D349" s="94">
        <v>16</v>
      </c>
      <c r="E349" s="93" t="s">
        <v>696</v>
      </c>
    </row>
    <row r="350" spans="1:5" x14ac:dyDescent="0.25">
      <c r="A350" s="93" t="s">
        <v>1071</v>
      </c>
      <c r="B350" s="93" t="s">
        <v>1072</v>
      </c>
      <c r="C350" s="93" t="s">
        <v>1073</v>
      </c>
      <c r="D350" s="94">
        <v>16</v>
      </c>
      <c r="E350" s="93" t="s">
        <v>696</v>
      </c>
    </row>
    <row r="351" spans="1:5" x14ac:dyDescent="0.25">
      <c r="A351" s="93" t="s">
        <v>1074</v>
      </c>
      <c r="B351" s="93" t="s">
        <v>1075</v>
      </c>
      <c r="C351" s="93" t="s">
        <v>1076</v>
      </c>
      <c r="D351" s="94">
        <v>16</v>
      </c>
      <c r="E351" s="93" t="s">
        <v>696</v>
      </c>
    </row>
    <row r="352" spans="1:5" x14ac:dyDescent="0.25">
      <c r="A352" s="93" t="s">
        <v>1077</v>
      </c>
      <c r="B352" s="93" t="s">
        <v>1078</v>
      </c>
      <c r="C352" s="93" t="s">
        <v>1079</v>
      </c>
      <c r="D352" s="94">
        <v>16</v>
      </c>
      <c r="E352" s="93" t="s">
        <v>696</v>
      </c>
    </row>
    <row r="353" spans="1:5" x14ac:dyDescent="0.25">
      <c r="A353" s="93" t="s">
        <v>1080</v>
      </c>
      <c r="B353" s="93" t="s">
        <v>1081</v>
      </c>
      <c r="C353" s="93" t="s">
        <v>1076</v>
      </c>
      <c r="D353" s="94">
        <v>16</v>
      </c>
      <c r="E353" s="93" t="s">
        <v>696</v>
      </c>
    </row>
    <row r="354" spans="1:5" x14ac:dyDescent="0.25">
      <c r="A354" s="93" t="s">
        <v>1082</v>
      </c>
      <c r="B354" s="93" t="s">
        <v>1083</v>
      </c>
      <c r="C354" s="93" t="s">
        <v>1084</v>
      </c>
      <c r="D354" s="94">
        <v>16</v>
      </c>
      <c r="E354" s="93" t="s">
        <v>696</v>
      </c>
    </row>
    <row r="355" spans="1:5" x14ac:dyDescent="0.25">
      <c r="A355" s="93" t="s">
        <v>1085</v>
      </c>
      <c r="B355" s="93" t="s">
        <v>1086</v>
      </c>
      <c r="C355" s="93" t="s">
        <v>1087</v>
      </c>
      <c r="D355" s="94">
        <v>16</v>
      </c>
      <c r="E355" s="93" t="s">
        <v>696</v>
      </c>
    </row>
    <row r="356" spans="1:5" x14ac:dyDescent="0.25">
      <c r="A356" s="93" t="s">
        <v>1088</v>
      </c>
      <c r="B356" s="93" t="s">
        <v>1089</v>
      </c>
      <c r="C356" s="93" t="s">
        <v>1090</v>
      </c>
      <c r="D356" s="94">
        <v>16</v>
      </c>
      <c r="E356" s="93" t="s">
        <v>696</v>
      </c>
    </row>
    <row r="357" spans="1:5" x14ac:dyDescent="0.25">
      <c r="A357" s="93" t="s">
        <v>1091</v>
      </c>
      <c r="B357" s="93" t="s">
        <v>1092</v>
      </c>
      <c r="C357" s="93" t="s">
        <v>1093</v>
      </c>
      <c r="D357" s="94">
        <v>16</v>
      </c>
      <c r="E357" s="93" t="s">
        <v>696</v>
      </c>
    </row>
    <row r="358" spans="1:5" x14ac:dyDescent="0.25">
      <c r="A358" s="93" t="s">
        <v>1094</v>
      </c>
      <c r="B358" s="93" t="s">
        <v>1095</v>
      </c>
      <c r="C358" s="93" t="s">
        <v>1096</v>
      </c>
      <c r="D358" s="94">
        <v>16</v>
      </c>
      <c r="E358" s="93" t="s">
        <v>696</v>
      </c>
    </row>
    <row r="359" spans="1:5" x14ac:dyDescent="0.25">
      <c r="A359" s="93" t="s">
        <v>1097</v>
      </c>
      <c r="B359" s="93" t="s">
        <v>1098</v>
      </c>
      <c r="C359" s="93" t="s">
        <v>1099</v>
      </c>
      <c r="D359" s="94">
        <v>16</v>
      </c>
      <c r="E359" s="93" t="s">
        <v>696</v>
      </c>
    </row>
    <row r="360" spans="1:5" x14ac:dyDescent="0.25">
      <c r="A360" s="93" t="s">
        <v>1100</v>
      </c>
      <c r="B360" s="93" t="s">
        <v>1101</v>
      </c>
      <c r="C360" s="93" t="s">
        <v>1102</v>
      </c>
      <c r="D360" s="94">
        <v>16</v>
      </c>
      <c r="E360" s="93" t="s">
        <v>696</v>
      </c>
    </row>
    <row r="361" spans="1:5" x14ac:dyDescent="0.25">
      <c r="A361" s="93" t="s">
        <v>1103</v>
      </c>
      <c r="B361" s="93" t="s">
        <v>1104</v>
      </c>
      <c r="C361" s="93" t="s">
        <v>1102</v>
      </c>
      <c r="D361" s="94">
        <v>16</v>
      </c>
      <c r="E361" s="93" t="s">
        <v>696</v>
      </c>
    </row>
    <row r="362" spans="1:5" x14ac:dyDescent="0.25">
      <c r="A362" s="93" t="s">
        <v>1105</v>
      </c>
      <c r="B362" s="93" t="s">
        <v>1106</v>
      </c>
      <c r="C362" s="93" t="s">
        <v>1102</v>
      </c>
      <c r="D362" s="94">
        <v>16</v>
      </c>
      <c r="E362" s="93" t="s">
        <v>696</v>
      </c>
    </row>
    <row r="363" spans="1:5" x14ac:dyDescent="0.25">
      <c r="A363" s="93" t="s">
        <v>1107</v>
      </c>
      <c r="B363" s="93" t="s">
        <v>1108</v>
      </c>
      <c r="C363" s="93" t="s">
        <v>1102</v>
      </c>
      <c r="D363" s="94">
        <v>16</v>
      </c>
      <c r="E363" s="93" t="s">
        <v>696</v>
      </c>
    </row>
    <row r="364" spans="1:5" x14ac:dyDescent="0.25">
      <c r="A364" s="93" t="s">
        <v>1109</v>
      </c>
      <c r="B364" s="93" t="s">
        <v>1110</v>
      </c>
      <c r="C364" s="93" t="s">
        <v>1102</v>
      </c>
      <c r="D364" s="94">
        <v>16</v>
      </c>
      <c r="E364" s="93" t="s">
        <v>696</v>
      </c>
    </row>
    <row r="365" spans="1:5" x14ac:dyDescent="0.25">
      <c r="A365" s="93" t="s">
        <v>1111</v>
      </c>
      <c r="B365" s="93" t="s">
        <v>1112</v>
      </c>
      <c r="C365" s="93" t="s">
        <v>1102</v>
      </c>
      <c r="D365" s="94">
        <v>16</v>
      </c>
      <c r="E365" s="93" t="s">
        <v>696</v>
      </c>
    </row>
    <row r="366" spans="1:5" x14ac:dyDescent="0.25">
      <c r="A366" s="93" t="s">
        <v>1113</v>
      </c>
      <c r="B366" s="93" t="s">
        <v>1114</v>
      </c>
      <c r="C366" s="93" t="s">
        <v>1102</v>
      </c>
      <c r="D366" s="94">
        <v>16</v>
      </c>
      <c r="E366" s="93" t="s">
        <v>696</v>
      </c>
    </row>
    <row r="367" spans="1:5" x14ac:dyDescent="0.25">
      <c r="A367" s="93" t="s">
        <v>1115</v>
      </c>
      <c r="B367" s="93" t="s">
        <v>1116</v>
      </c>
      <c r="C367" s="93" t="s">
        <v>1102</v>
      </c>
      <c r="D367" s="94">
        <v>16</v>
      </c>
      <c r="E367" s="93" t="s">
        <v>696</v>
      </c>
    </row>
    <row r="368" spans="1:5" x14ac:dyDescent="0.25">
      <c r="A368" s="93" t="s">
        <v>1117</v>
      </c>
      <c r="B368" s="93" t="s">
        <v>1118</v>
      </c>
      <c r="C368" s="93" t="s">
        <v>1119</v>
      </c>
      <c r="D368" s="94">
        <v>16</v>
      </c>
      <c r="E368" s="93" t="s">
        <v>696</v>
      </c>
    </row>
    <row r="369" spans="1:5" x14ac:dyDescent="0.25">
      <c r="A369" s="93" t="s">
        <v>1120</v>
      </c>
      <c r="B369" s="93" t="s">
        <v>1121</v>
      </c>
      <c r="C369" s="93" t="s">
        <v>1122</v>
      </c>
      <c r="D369" s="94">
        <v>16</v>
      </c>
      <c r="E369" s="93" t="s">
        <v>696</v>
      </c>
    </row>
    <row r="370" spans="1:5" x14ac:dyDescent="0.25">
      <c r="A370" s="93" t="s">
        <v>1123</v>
      </c>
      <c r="B370" s="93" t="s">
        <v>1124</v>
      </c>
      <c r="C370" s="93" t="s">
        <v>1125</v>
      </c>
      <c r="D370" s="94">
        <v>16</v>
      </c>
      <c r="E370" s="93" t="s">
        <v>696</v>
      </c>
    </row>
    <row r="371" spans="1:5" x14ac:dyDescent="0.25">
      <c r="A371" s="93" t="s">
        <v>1126</v>
      </c>
      <c r="B371" s="93" t="s">
        <v>1127</v>
      </c>
      <c r="C371" s="93" t="s">
        <v>1128</v>
      </c>
      <c r="D371" s="94">
        <v>16</v>
      </c>
      <c r="E371" s="93" t="s">
        <v>696</v>
      </c>
    </row>
    <row r="372" spans="1:5" x14ac:dyDescent="0.25">
      <c r="A372" s="93" t="s">
        <v>1129</v>
      </c>
      <c r="B372" s="93" t="s">
        <v>1130</v>
      </c>
      <c r="C372" s="93" t="s">
        <v>1131</v>
      </c>
      <c r="D372" s="94">
        <v>16</v>
      </c>
      <c r="E372" s="93" t="s">
        <v>696</v>
      </c>
    </row>
    <row r="373" spans="1:5" x14ac:dyDescent="0.25">
      <c r="A373" s="93" t="s">
        <v>1132</v>
      </c>
      <c r="B373" s="93" t="s">
        <v>1133</v>
      </c>
      <c r="C373" s="93" t="s">
        <v>1134</v>
      </c>
      <c r="D373" s="94">
        <v>16</v>
      </c>
      <c r="E373" s="93" t="s">
        <v>696</v>
      </c>
    </row>
    <row r="374" spans="1:5" x14ac:dyDescent="0.25">
      <c r="A374" s="93" t="s">
        <v>1135</v>
      </c>
      <c r="B374" s="93" t="s">
        <v>1136</v>
      </c>
      <c r="C374" s="93" t="s">
        <v>1134</v>
      </c>
      <c r="D374" s="94">
        <v>16</v>
      </c>
      <c r="E374" s="93" t="s">
        <v>696</v>
      </c>
    </row>
    <row r="375" spans="1:5" x14ac:dyDescent="0.25">
      <c r="A375" s="93" t="s">
        <v>1137</v>
      </c>
      <c r="B375" s="93" t="s">
        <v>1138</v>
      </c>
      <c r="C375" s="93" t="s">
        <v>1134</v>
      </c>
      <c r="D375" s="94">
        <v>16</v>
      </c>
      <c r="E375" s="93" t="s">
        <v>696</v>
      </c>
    </row>
    <row r="376" spans="1:5" x14ac:dyDescent="0.25">
      <c r="A376" s="93" t="s">
        <v>1139</v>
      </c>
      <c r="B376" s="93" t="s">
        <v>1140</v>
      </c>
      <c r="C376" s="93" t="s">
        <v>1134</v>
      </c>
      <c r="D376" s="94">
        <v>16</v>
      </c>
      <c r="E376" s="93" t="s">
        <v>696</v>
      </c>
    </row>
    <row r="377" spans="1:5" x14ac:dyDescent="0.25">
      <c r="A377" s="93" t="s">
        <v>1141</v>
      </c>
      <c r="B377" s="93" t="s">
        <v>1142</v>
      </c>
      <c r="C377" s="93" t="s">
        <v>1143</v>
      </c>
      <c r="D377" s="94">
        <v>16</v>
      </c>
      <c r="E377" s="93" t="s">
        <v>696</v>
      </c>
    </row>
    <row r="378" spans="1:5" x14ac:dyDescent="0.25">
      <c r="A378" s="93" t="s">
        <v>1144</v>
      </c>
      <c r="B378" s="93" t="s">
        <v>1145</v>
      </c>
      <c r="C378" s="93" t="s">
        <v>1143</v>
      </c>
      <c r="D378" s="94">
        <v>16</v>
      </c>
      <c r="E378" s="93" t="s">
        <v>696</v>
      </c>
    </row>
    <row r="379" spans="1:5" x14ac:dyDescent="0.25">
      <c r="A379" s="93" t="s">
        <v>1146</v>
      </c>
      <c r="B379" s="93" t="s">
        <v>1147</v>
      </c>
      <c r="C379" s="93" t="s">
        <v>1143</v>
      </c>
      <c r="D379" s="94">
        <v>16</v>
      </c>
      <c r="E379" s="93" t="s">
        <v>696</v>
      </c>
    </row>
    <row r="380" spans="1:5" x14ac:dyDescent="0.25">
      <c r="A380" s="93" t="s">
        <v>1148</v>
      </c>
      <c r="B380" s="93" t="s">
        <v>1149</v>
      </c>
      <c r="C380" s="93" t="s">
        <v>1150</v>
      </c>
      <c r="D380" s="94">
        <v>16</v>
      </c>
      <c r="E380" s="93" t="s">
        <v>696</v>
      </c>
    </row>
    <row r="381" spans="1:5" x14ac:dyDescent="0.25">
      <c r="A381" s="93" t="s">
        <v>1151</v>
      </c>
      <c r="B381" s="93" t="s">
        <v>1152</v>
      </c>
      <c r="C381" s="93" t="s">
        <v>1153</v>
      </c>
      <c r="D381" s="94">
        <v>16</v>
      </c>
      <c r="E381" s="93" t="s">
        <v>696</v>
      </c>
    </row>
    <row r="382" spans="1:5" x14ac:dyDescent="0.25">
      <c r="A382" s="93" t="s">
        <v>1154</v>
      </c>
      <c r="B382" s="93" t="s">
        <v>1155</v>
      </c>
      <c r="C382" s="93" t="s">
        <v>1156</v>
      </c>
      <c r="D382" s="94">
        <v>16</v>
      </c>
      <c r="E382" s="93" t="s">
        <v>696</v>
      </c>
    </row>
    <row r="383" spans="1:5" x14ac:dyDescent="0.25">
      <c r="A383" s="93" t="s">
        <v>1157</v>
      </c>
      <c r="B383" s="93" t="s">
        <v>1158</v>
      </c>
      <c r="C383" s="93" t="s">
        <v>652</v>
      </c>
      <c r="D383" s="94">
        <v>16</v>
      </c>
      <c r="E383" s="93" t="s">
        <v>696</v>
      </c>
    </row>
    <row r="384" spans="1:5" x14ac:dyDescent="0.25">
      <c r="A384" s="93" t="s">
        <v>1159</v>
      </c>
      <c r="B384" s="93" t="s">
        <v>1160</v>
      </c>
      <c r="C384" s="93" t="s">
        <v>662</v>
      </c>
      <c r="D384" s="94">
        <v>16</v>
      </c>
      <c r="E384" s="93" t="s">
        <v>696</v>
      </c>
    </row>
    <row r="385" spans="1:5" x14ac:dyDescent="0.25">
      <c r="A385" s="93" t="s">
        <v>1161</v>
      </c>
      <c r="B385" s="93" t="s">
        <v>1162</v>
      </c>
      <c r="C385" s="93" t="s">
        <v>1163</v>
      </c>
      <c r="D385" s="94">
        <v>16</v>
      </c>
      <c r="E385" s="93" t="s">
        <v>696</v>
      </c>
    </row>
    <row r="386" spans="1:5" x14ac:dyDescent="0.25">
      <c r="A386" s="93" t="s">
        <v>1164</v>
      </c>
      <c r="B386" s="93" t="s">
        <v>1165</v>
      </c>
      <c r="C386" s="93" t="s">
        <v>1166</v>
      </c>
      <c r="D386" s="94">
        <v>16</v>
      </c>
      <c r="E386" s="93" t="s">
        <v>696</v>
      </c>
    </row>
    <row r="387" spans="1:5" x14ac:dyDescent="0.25">
      <c r="A387" s="93" t="s">
        <v>1167</v>
      </c>
      <c r="B387" s="93" t="s">
        <v>1168</v>
      </c>
      <c r="C387" s="93" t="s">
        <v>1169</v>
      </c>
      <c r="D387" s="94">
        <v>16</v>
      </c>
      <c r="E387" s="93" t="s">
        <v>696</v>
      </c>
    </row>
    <row r="388" spans="1:5" x14ac:dyDescent="0.25">
      <c r="A388" s="93" t="s">
        <v>1170</v>
      </c>
      <c r="B388" s="93" t="s">
        <v>1171</v>
      </c>
      <c r="C388" s="93" t="s">
        <v>1172</v>
      </c>
      <c r="D388" s="94">
        <v>16</v>
      </c>
      <c r="E388" s="93" t="s">
        <v>696</v>
      </c>
    </row>
    <row r="389" spans="1:5" x14ac:dyDescent="0.25">
      <c r="A389" s="93" t="s">
        <v>1173</v>
      </c>
      <c r="B389" s="93" t="s">
        <v>1174</v>
      </c>
      <c r="C389" s="93" t="s">
        <v>1175</v>
      </c>
      <c r="D389" s="94">
        <v>16</v>
      </c>
      <c r="E389" s="93" t="s">
        <v>696</v>
      </c>
    </row>
    <row r="390" spans="1:5" x14ac:dyDescent="0.25">
      <c r="A390" s="93" t="s">
        <v>1176</v>
      </c>
      <c r="B390" s="93" t="s">
        <v>1177</v>
      </c>
      <c r="C390" s="93" t="s">
        <v>1178</v>
      </c>
      <c r="D390" s="94">
        <v>16</v>
      </c>
      <c r="E390" s="93" t="s">
        <v>696</v>
      </c>
    </row>
    <row r="391" spans="1:5" x14ac:dyDescent="0.25">
      <c r="A391" s="93" t="s">
        <v>1179</v>
      </c>
      <c r="B391" s="93" t="s">
        <v>1180</v>
      </c>
      <c r="C391" s="93" t="s">
        <v>1181</v>
      </c>
      <c r="D391" s="94">
        <v>16</v>
      </c>
      <c r="E391" s="93" t="s">
        <v>696</v>
      </c>
    </row>
    <row r="392" spans="1:5" x14ac:dyDescent="0.25">
      <c r="A392" s="93" t="s">
        <v>1182</v>
      </c>
      <c r="B392" s="93" t="s">
        <v>1183</v>
      </c>
      <c r="C392" s="93" t="s">
        <v>598</v>
      </c>
      <c r="D392" s="94">
        <v>16</v>
      </c>
      <c r="E392" s="93" t="s">
        <v>696</v>
      </c>
    </row>
    <row r="393" spans="1:5" x14ac:dyDescent="0.25">
      <c r="A393" s="93" t="s">
        <v>1184</v>
      </c>
      <c r="B393" s="93" t="s">
        <v>1185</v>
      </c>
      <c r="C393" s="93" t="s">
        <v>628</v>
      </c>
      <c r="D393" s="94">
        <v>16</v>
      </c>
      <c r="E393" s="93" t="s">
        <v>696</v>
      </c>
    </row>
    <row r="394" spans="1:5" x14ac:dyDescent="0.25">
      <c r="A394" s="93" t="s">
        <v>1186</v>
      </c>
      <c r="B394" s="93" t="s">
        <v>1187</v>
      </c>
      <c r="C394" s="93" t="s">
        <v>1188</v>
      </c>
      <c r="D394" s="94">
        <v>16</v>
      </c>
      <c r="E394" s="93" t="s">
        <v>696</v>
      </c>
    </row>
    <row r="395" spans="1:5" x14ac:dyDescent="0.25">
      <c r="A395" s="93" t="s">
        <v>1189</v>
      </c>
      <c r="B395" s="93" t="s">
        <v>1190</v>
      </c>
      <c r="C395" s="93" t="s">
        <v>1191</v>
      </c>
      <c r="D395" s="94">
        <v>16</v>
      </c>
      <c r="E395" s="93" t="s">
        <v>696</v>
      </c>
    </row>
    <row r="396" spans="1:5" x14ac:dyDescent="0.25">
      <c r="A396" s="93" t="s">
        <v>1192</v>
      </c>
      <c r="B396" s="93" t="s">
        <v>1193</v>
      </c>
      <c r="C396" s="93" t="s">
        <v>1194</v>
      </c>
      <c r="D396" s="94">
        <v>16</v>
      </c>
      <c r="E396" s="93" t="s">
        <v>696</v>
      </c>
    </row>
    <row r="397" spans="1:5" x14ac:dyDescent="0.25">
      <c r="A397" s="93" t="s">
        <v>1195</v>
      </c>
      <c r="B397" s="93" t="s">
        <v>1196</v>
      </c>
      <c r="C397" s="93" t="s">
        <v>1197</v>
      </c>
      <c r="D397" s="94">
        <v>16</v>
      </c>
      <c r="E397" s="93" t="s">
        <v>696</v>
      </c>
    </row>
    <row r="398" spans="1:5" x14ac:dyDescent="0.25">
      <c r="A398" s="93" t="s">
        <v>1198</v>
      </c>
      <c r="B398" s="93" t="s">
        <v>1199</v>
      </c>
      <c r="C398" s="93" t="s">
        <v>1200</v>
      </c>
      <c r="D398" s="94">
        <v>16</v>
      </c>
      <c r="E398" s="93" t="s">
        <v>696</v>
      </c>
    </row>
    <row r="399" spans="1:5" x14ac:dyDescent="0.25">
      <c r="A399" s="93" t="s">
        <v>1201</v>
      </c>
      <c r="B399" s="93" t="s">
        <v>1202</v>
      </c>
      <c r="C399" s="93" t="s">
        <v>1203</v>
      </c>
      <c r="D399" s="94">
        <v>16</v>
      </c>
      <c r="E399" s="93" t="s">
        <v>696</v>
      </c>
    </row>
    <row r="400" spans="1:5" x14ac:dyDescent="0.25">
      <c r="A400" s="93" t="s">
        <v>1204</v>
      </c>
      <c r="B400" s="93" t="s">
        <v>1205</v>
      </c>
      <c r="C400" s="93" t="s">
        <v>1206</v>
      </c>
      <c r="D400" s="94">
        <v>16</v>
      </c>
      <c r="E400" s="93" t="s">
        <v>696</v>
      </c>
    </row>
    <row r="401" spans="1:5" x14ac:dyDescent="0.25">
      <c r="A401" s="93" t="s">
        <v>1207</v>
      </c>
      <c r="B401" s="93" t="s">
        <v>1208</v>
      </c>
      <c r="C401" s="93" t="s">
        <v>1209</v>
      </c>
      <c r="D401" s="94">
        <v>16</v>
      </c>
      <c r="E401" s="93" t="s">
        <v>696</v>
      </c>
    </row>
    <row r="402" spans="1:5" x14ac:dyDescent="0.25">
      <c r="A402" s="93" t="s">
        <v>1210</v>
      </c>
      <c r="B402" s="93" t="s">
        <v>1211</v>
      </c>
      <c r="C402" s="93" t="s">
        <v>1212</v>
      </c>
      <c r="D402" s="94">
        <v>16</v>
      </c>
      <c r="E402" s="93" t="s">
        <v>696</v>
      </c>
    </row>
    <row r="403" spans="1:5" x14ac:dyDescent="0.25">
      <c r="A403" s="93" t="s">
        <v>1213</v>
      </c>
      <c r="B403" s="93" t="s">
        <v>1214</v>
      </c>
      <c r="C403" s="93" t="s">
        <v>1212</v>
      </c>
      <c r="D403" s="94">
        <v>16</v>
      </c>
      <c r="E403" s="93" t="s">
        <v>696</v>
      </c>
    </row>
    <row r="404" spans="1:5" x14ac:dyDescent="0.25">
      <c r="A404" s="93" t="s">
        <v>1215</v>
      </c>
      <c r="B404" s="93" t="s">
        <v>1216</v>
      </c>
      <c r="C404" s="93" t="s">
        <v>1212</v>
      </c>
      <c r="D404" s="94">
        <v>16</v>
      </c>
      <c r="E404" s="93" t="s">
        <v>696</v>
      </c>
    </row>
    <row r="405" spans="1:5" x14ac:dyDescent="0.25">
      <c r="A405" s="93" t="s">
        <v>1217</v>
      </c>
      <c r="B405" s="93" t="s">
        <v>1218</v>
      </c>
      <c r="C405" s="93" t="s">
        <v>1212</v>
      </c>
      <c r="D405" s="94">
        <v>16</v>
      </c>
      <c r="E405" s="93" t="s">
        <v>696</v>
      </c>
    </row>
    <row r="406" spans="1:5" x14ac:dyDescent="0.25">
      <c r="A406" s="93" t="s">
        <v>1219</v>
      </c>
      <c r="B406" s="93" t="s">
        <v>1220</v>
      </c>
      <c r="C406" s="93" t="s">
        <v>1221</v>
      </c>
      <c r="D406" s="94">
        <v>16</v>
      </c>
      <c r="E406" s="93" t="s">
        <v>696</v>
      </c>
    </row>
    <row r="407" spans="1:5" x14ac:dyDescent="0.25">
      <c r="A407" s="93" t="s">
        <v>1222</v>
      </c>
      <c r="B407" s="93" t="s">
        <v>1223</v>
      </c>
      <c r="C407" s="93" t="s">
        <v>1221</v>
      </c>
      <c r="D407" s="94">
        <v>16</v>
      </c>
      <c r="E407" s="93" t="s">
        <v>696</v>
      </c>
    </row>
    <row r="408" spans="1:5" x14ac:dyDescent="0.25">
      <c r="A408" s="93" t="s">
        <v>1224</v>
      </c>
      <c r="B408" s="93" t="s">
        <v>1225</v>
      </c>
      <c r="C408" s="93" t="s">
        <v>1221</v>
      </c>
      <c r="D408" s="94">
        <v>16</v>
      </c>
      <c r="E408" s="93" t="s">
        <v>696</v>
      </c>
    </row>
    <row r="409" spans="1:5" x14ac:dyDescent="0.25">
      <c r="A409" s="93" t="s">
        <v>1226</v>
      </c>
      <c r="B409" s="93" t="s">
        <v>1227</v>
      </c>
      <c r="C409" s="93" t="s">
        <v>1221</v>
      </c>
      <c r="D409" s="94">
        <v>16</v>
      </c>
      <c r="E409" s="93" t="s">
        <v>696</v>
      </c>
    </row>
    <row r="410" spans="1:5" x14ac:dyDescent="0.25">
      <c r="A410" s="93" t="s">
        <v>1228</v>
      </c>
      <c r="B410" s="93" t="s">
        <v>1229</v>
      </c>
      <c r="C410" s="93" t="s">
        <v>1230</v>
      </c>
      <c r="D410" s="94">
        <v>16</v>
      </c>
      <c r="E410" s="93" t="s">
        <v>696</v>
      </c>
    </row>
    <row r="411" spans="1:5" x14ac:dyDescent="0.25">
      <c r="A411" s="93" t="s">
        <v>1231</v>
      </c>
      <c r="B411" s="93" t="s">
        <v>1232</v>
      </c>
      <c r="C411" s="93" t="s">
        <v>1233</v>
      </c>
      <c r="D411" s="94">
        <v>16</v>
      </c>
      <c r="E411" s="93" t="s">
        <v>696</v>
      </c>
    </row>
    <row r="412" spans="1:5" x14ac:dyDescent="0.25">
      <c r="A412" s="93" t="s">
        <v>1234</v>
      </c>
      <c r="B412" s="93" t="s">
        <v>1235</v>
      </c>
      <c r="C412" s="93" t="s">
        <v>1236</v>
      </c>
      <c r="D412" s="94">
        <v>16</v>
      </c>
      <c r="E412" s="93" t="s">
        <v>696</v>
      </c>
    </row>
    <row r="413" spans="1:5" x14ac:dyDescent="0.25">
      <c r="A413" s="93" t="s">
        <v>1237</v>
      </c>
      <c r="B413" s="93" t="s">
        <v>1238</v>
      </c>
      <c r="C413" s="93" t="s">
        <v>1236</v>
      </c>
      <c r="D413" s="94">
        <v>16</v>
      </c>
      <c r="E413" s="93" t="s">
        <v>696</v>
      </c>
    </row>
    <row r="414" spans="1:5" x14ac:dyDescent="0.25">
      <c r="A414" s="93" t="s">
        <v>1239</v>
      </c>
      <c r="B414" s="93" t="s">
        <v>1240</v>
      </c>
      <c r="C414" s="93" t="s">
        <v>1241</v>
      </c>
      <c r="D414" s="94">
        <v>16</v>
      </c>
      <c r="E414" s="93" t="s">
        <v>696</v>
      </c>
    </row>
    <row r="415" spans="1:5" x14ac:dyDescent="0.25">
      <c r="A415" s="93" t="s">
        <v>1242</v>
      </c>
      <c r="B415" s="93" t="s">
        <v>1243</v>
      </c>
      <c r="C415" s="93" t="s">
        <v>1244</v>
      </c>
      <c r="D415" s="94">
        <v>16</v>
      </c>
      <c r="E415" s="93" t="s">
        <v>696</v>
      </c>
    </row>
    <row r="416" spans="1:5" x14ac:dyDescent="0.25">
      <c r="A416" s="93" t="s">
        <v>1245</v>
      </c>
      <c r="B416" s="93" t="s">
        <v>1246</v>
      </c>
      <c r="C416" s="93" t="s">
        <v>1247</v>
      </c>
      <c r="D416" s="94">
        <v>16</v>
      </c>
      <c r="E416" s="93" t="s">
        <v>696</v>
      </c>
    </row>
    <row r="417" spans="1:5" x14ac:dyDescent="0.25">
      <c r="A417" s="93" t="s">
        <v>1248</v>
      </c>
      <c r="B417" s="93" t="s">
        <v>1249</v>
      </c>
      <c r="C417" s="93" t="s">
        <v>1250</v>
      </c>
      <c r="D417" s="94">
        <v>16</v>
      </c>
      <c r="E417" s="93" t="s">
        <v>696</v>
      </c>
    </row>
    <row r="418" spans="1:5" x14ac:dyDescent="0.25">
      <c r="A418" s="93" t="s">
        <v>1251</v>
      </c>
      <c r="B418" s="93" t="s">
        <v>1252</v>
      </c>
      <c r="C418" s="93" t="s">
        <v>1253</v>
      </c>
      <c r="D418" s="94">
        <v>16</v>
      </c>
      <c r="E418" s="93" t="s">
        <v>696</v>
      </c>
    </row>
    <row r="419" spans="1:5" x14ac:dyDescent="0.25">
      <c r="A419" s="93" t="s">
        <v>1254</v>
      </c>
      <c r="B419" s="93" t="s">
        <v>1255</v>
      </c>
      <c r="C419" s="93" t="s">
        <v>1253</v>
      </c>
      <c r="D419" s="94">
        <v>16</v>
      </c>
      <c r="E419" s="93" t="s">
        <v>696</v>
      </c>
    </row>
    <row r="420" spans="1:5" x14ac:dyDescent="0.25">
      <c r="A420" s="93" t="s">
        <v>1256</v>
      </c>
      <c r="B420" s="93" t="s">
        <v>1257</v>
      </c>
      <c r="C420" s="93" t="s">
        <v>1258</v>
      </c>
      <c r="D420" s="94">
        <v>16</v>
      </c>
      <c r="E420" s="93" t="s">
        <v>696</v>
      </c>
    </row>
  </sheetData>
  <protectedRanges>
    <protectedRange algorithmName="SHA-512" hashValue="OTCpRhJZX4ssmT46fjuIfZEUFrJbh5L9SM4EI20AtbquI6lApnQY3AAisqFHYJF5rjpcVA6yHfCUqgHNOflIxA==" saltValue="c0MYD3cX8JRpzQJF4EU+cQ==" spinCount="100000" sqref="G4:G9" name="Rating Factors"/>
  </protectedRanges>
  <autoFilter ref="A1:E205" xr:uid="{00000000-0009-0000-0000-000000000000}">
    <sortState xmlns:xlrd2="http://schemas.microsoft.com/office/spreadsheetml/2017/richdata2" ref="A2:E205">
      <sortCondition ref="D1:D205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6C3E6FF8F03143A399C6B700662E45" ma:contentTypeVersion="6" ma:contentTypeDescription="Create a new document." ma:contentTypeScope="" ma:versionID="5a5931f97d2c65cc7bd1eb4c6334c09e">
  <xsd:schema xmlns:xsd="http://www.w3.org/2001/XMLSchema" xmlns:xs="http://www.w3.org/2001/XMLSchema" xmlns:p="http://schemas.microsoft.com/office/2006/metadata/properties" xmlns:ns2="b2d981c2-3361-478b-a379-de9ed6d2bdb6" targetNamespace="http://schemas.microsoft.com/office/2006/metadata/properties" ma:root="true" ma:fieldsID="5683caf3c64bb51e1a2fbaa053b88f7a" ns2:_="">
    <xsd:import namespace="b2d981c2-3361-478b-a379-de9ed6d2bd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_ModernAudienceTargetUserField" minOccurs="0"/>
                <xsd:element ref="ns2:_ModernAudienceAadObjectI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d981c2-3361-478b-a379-de9ed6d2bd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ModernAudienceTargetUserField" ma:index="12" nillable="true" ma:displayName="Audience" ma:list="UserInfo" ma:SharePointGroup="0" ma:internalName="_ModernAudienceTargetUserField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ModernAudienceAadObjectIds" ma:index="13" nillable="true" ma:displayName="AudienceIds" ma:list="{e42e6015-8c3e-4c49-b22b-00511e4c4217}" ma:internalName="_ModernAudienceAadObjectIds" ma:readOnly="true" ma:showField="_AadObjectIdForUser" ma:web="1c597bce-4d66-4da9-8285-0fde7c4154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ModernAudienceTargetUserField xmlns="b2d981c2-3361-478b-a379-de9ed6d2bdb6">
      <UserInfo>
        <DisplayName/>
        <AccountId xsi:nil="true"/>
        <AccountType/>
      </UserInfo>
    </_ModernAudienceTargetUserField>
  </documentManagement>
</p:properties>
</file>

<file path=customXml/itemProps1.xml><?xml version="1.0" encoding="utf-8"?>
<ds:datastoreItem xmlns:ds="http://schemas.openxmlformats.org/officeDocument/2006/customXml" ds:itemID="{4629E981-2689-49B8-BE9A-E3C34D5BCDE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00AFAEB-F49F-41F2-A6F5-3AE2BFD6D7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2d981c2-3361-478b-a379-de9ed6d2bd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0D5FD20-E630-4706-9C3D-5CF7131F9EC0}">
  <ds:schemaRefs>
    <ds:schemaRef ds:uri="http://schemas.microsoft.com/office/2006/documentManagement/types"/>
    <ds:schemaRef ds:uri="b2d981c2-3361-478b-a379-de9ed6d2bdb6"/>
    <ds:schemaRef ds:uri="http://purl.org/dc/terms/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Main</vt:lpstr>
      <vt:lpstr>Summary</vt:lpstr>
      <vt:lpstr>Rating Factors</vt:lpstr>
      <vt:lpstr>CrestaP</vt:lpstr>
      <vt:lpstr>Summary!Print_Area</vt:lpstr>
      <vt:lpstr>SBU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VaGoTool</dc:title>
  <dc:subject/>
  <dc:creator>CharbelSemaan</dc:creator>
  <cp:keywords/>
  <dc:description/>
  <cp:lastModifiedBy>Charbel Semaan</cp:lastModifiedBy>
  <cp:revision/>
  <cp:lastPrinted>2025-08-28T10:28:04Z</cp:lastPrinted>
  <dcterms:created xsi:type="dcterms:W3CDTF">2025-05-23T10:58:16Z</dcterms:created>
  <dcterms:modified xsi:type="dcterms:W3CDTF">2025-12-16T17:43:17Z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0x010100806C3E6FF8F03143A399C6B700662E45</vt:lpwstr>
  </property>
</Properties>
</file>